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z-soukei6\disk1\反町\3世帯主率法\vba\"/>
    </mc:Choice>
  </mc:AlternateContent>
  <xr:revisionPtr revIDLastSave="0" documentId="13_ncr:1_{21A8964E-1365-40D6-9655-82624095C3F2}" xr6:coauthVersionLast="46" xr6:coauthVersionMax="46" xr10:uidLastSave="{00000000-0000-0000-0000-000000000000}"/>
  <bookViews>
    <workbookView xWindow="28680" yWindow="-120" windowWidth="29040" windowHeight="15840" xr2:uid="{A44D28DA-9C2F-40C5-9674-720023BB2A26}"/>
  </bookViews>
  <sheets>
    <sheet name="main" sheetId="1" r:id="rId1"/>
    <sheet name="将来世帯数(1)" sheetId="10" r:id="rId2"/>
    <sheet name="将来世帯数(2)" sheetId="9" r:id="rId3"/>
    <sheet name="将来人口" sheetId="8" r:id="rId4"/>
    <sheet name="世帯主率推計" sheetId="7" r:id="rId5"/>
    <sheet name="世帯主率" sheetId="6" r:id="rId6"/>
    <sheet name="人口" sheetId="5" r:id="rId7"/>
    <sheet name="世帯数不詳按分" sheetId="4" r:id="rId8"/>
    <sheet name="世帯数" sheetId="3" r:id="rId9"/>
    <sheet name="参照" sheetId="2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7" l="1"/>
  <c r="A1" i="8"/>
  <c r="A1" i="10"/>
  <c r="K57" i="5" l="1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" i="5"/>
  <c r="A2" i="9" l="1"/>
  <c r="H2" i="9"/>
  <c r="B2" i="9"/>
  <c r="C2" i="9"/>
  <c r="D2" i="9"/>
  <c r="E2" i="9"/>
  <c r="F2" i="9"/>
  <c r="G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1" i="9"/>
  <c r="H21" i="9"/>
  <c r="B21" i="9"/>
  <c r="C21" i="9"/>
  <c r="D21" i="9"/>
  <c r="E21" i="9"/>
  <c r="F21" i="9"/>
  <c r="G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40" i="9"/>
  <c r="H40" i="9"/>
  <c r="B40" i="9"/>
  <c r="C40" i="9"/>
  <c r="D40" i="9"/>
  <c r="E40" i="9"/>
  <c r="F40" i="9"/>
  <c r="G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C19" i="5" l="1"/>
  <c r="B19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G18" i="4" l="1"/>
  <c r="F18" i="4"/>
  <c r="E18" i="4"/>
  <c r="D18" i="4"/>
  <c r="C18" i="4"/>
  <c r="G17" i="4"/>
  <c r="F17" i="4"/>
  <c r="E17" i="4"/>
  <c r="D17" i="4"/>
  <c r="C17" i="4"/>
  <c r="G16" i="4"/>
  <c r="F16" i="4"/>
  <c r="E16" i="4"/>
  <c r="D16" i="4"/>
  <c r="C16" i="4"/>
  <c r="G15" i="4"/>
  <c r="F15" i="4"/>
  <c r="E15" i="4"/>
  <c r="D15" i="4"/>
  <c r="C15" i="4"/>
  <c r="G14" i="4"/>
  <c r="F14" i="4"/>
  <c r="E14" i="4"/>
  <c r="D14" i="4"/>
  <c r="C14" i="4"/>
  <c r="G13" i="4"/>
  <c r="F13" i="4"/>
  <c r="E13" i="4"/>
  <c r="D13" i="4"/>
  <c r="C13" i="4"/>
  <c r="G12" i="4"/>
  <c r="F12" i="4"/>
  <c r="E12" i="4"/>
  <c r="D12" i="4"/>
  <c r="C12" i="4"/>
  <c r="G11" i="4"/>
  <c r="F11" i="4"/>
  <c r="E11" i="4"/>
  <c r="D11" i="4"/>
  <c r="C11" i="4"/>
  <c r="G10" i="4"/>
  <c r="F10" i="4"/>
  <c r="E10" i="4"/>
  <c r="D10" i="4"/>
  <c r="C10" i="4"/>
  <c r="G9" i="4"/>
  <c r="F9" i="4"/>
  <c r="E9" i="4"/>
  <c r="D9" i="4"/>
  <c r="C9" i="4"/>
  <c r="G8" i="4"/>
  <c r="F8" i="4"/>
  <c r="E8" i="4"/>
  <c r="D8" i="4"/>
  <c r="C8" i="4"/>
  <c r="G7" i="4"/>
  <c r="F7" i="4"/>
  <c r="E7" i="4"/>
  <c r="D7" i="4"/>
  <c r="C7" i="4"/>
  <c r="G6" i="4"/>
  <c r="F6" i="4"/>
  <c r="E6" i="4"/>
  <c r="D6" i="4"/>
  <c r="C6" i="4"/>
  <c r="G5" i="4"/>
  <c r="F5" i="4"/>
  <c r="E5" i="4"/>
  <c r="D5" i="4"/>
  <c r="C5" i="4"/>
  <c r="G4" i="4"/>
  <c r="F4" i="4"/>
  <c r="E4" i="4"/>
  <c r="D4" i="4"/>
  <c r="C4" i="4"/>
  <c r="G3" i="4"/>
  <c r="F3" i="9" s="1"/>
  <c r="F3" i="4"/>
  <c r="E3" i="9" s="1"/>
  <c r="E3" i="4"/>
  <c r="D3" i="9" s="1"/>
  <c r="D3" i="4"/>
  <c r="C3" i="9" s="1"/>
  <c r="C3" i="4"/>
  <c r="B3" i="9" s="1"/>
  <c r="H59" i="4"/>
  <c r="H60" i="4" s="1"/>
  <c r="G57" i="9" s="1"/>
  <c r="G5" i="10" s="1"/>
  <c r="G58" i="4"/>
  <c r="F58" i="4"/>
  <c r="E58" i="4"/>
  <c r="D58" i="4"/>
  <c r="C58" i="4"/>
  <c r="G57" i="4"/>
  <c r="F57" i="4"/>
  <c r="E57" i="4"/>
  <c r="D57" i="4"/>
  <c r="C57" i="4"/>
  <c r="G56" i="4"/>
  <c r="F56" i="4"/>
  <c r="E56" i="4"/>
  <c r="D56" i="4"/>
  <c r="C56" i="4"/>
  <c r="G55" i="4"/>
  <c r="F55" i="4"/>
  <c r="E55" i="4"/>
  <c r="D55" i="4"/>
  <c r="C55" i="4"/>
  <c r="G54" i="4"/>
  <c r="F54" i="4"/>
  <c r="E54" i="4"/>
  <c r="D54" i="4"/>
  <c r="C54" i="4"/>
  <c r="G53" i="4"/>
  <c r="F53" i="4"/>
  <c r="E53" i="4"/>
  <c r="D53" i="4"/>
  <c r="C53" i="4"/>
  <c r="G52" i="4"/>
  <c r="F52" i="4"/>
  <c r="E52" i="4"/>
  <c r="D52" i="4"/>
  <c r="C52" i="4"/>
  <c r="G51" i="4"/>
  <c r="F51" i="4"/>
  <c r="E51" i="4"/>
  <c r="D51" i="4"/>
  <c r="C51" i="4"/>
  <c r="G50" i="4"/>
  <c r="F50" i="4"/>
  <c r="E50" i="4"/>
  <c r="D50" i="4"/>
  <c r="C50" i="4"/>
  <c r="G49" i="4"/>
  <c r="F49" i="4"/>
  <c r="E49" i="4"/>
  <c r="D49" i="4"/>
  <c r="C49" i="4"/>
  <c r="G48" i="4"/>
  <c r="F48" i="4"/>
  <c r="E48" i="4"/>
  <c r="D48" i="4"/>
  <c r="C48" i="4"/>
  <c r="G47" i="4"/>
  <c r="F47" i="4"/>
  <c r="E47" i="4"/>
  <c r="D47" i="4"/>
  <c r="C47" i="4"/>
  <c r="G46" i="4"/>
  <c r="F46" i="4"/>
  <c r="E46" i="4"/>
  <c r="D46" i="4"/>
  <c r="C46" i="4"/>
  <c r="G45" i="4"/>
  <c r="F45" i="4"/>
  <c r="E45" i="4"/>
  <c r="D45" i="4"/>
  <c r="C45" i="4"/>
  <c r="G44" i="4"/>
  <c r="F44" i="4"/>
  <c r="E44" i="4"/>
  <c r="D44" i="4"/>
  <c r="C44" i="4"/>
  <c r="G43" i="4"/>
  <c r="F41" i="9" s="1"/>
  <c r="F43" i="4"/>
  <c r="E41" i="9" s="1"/>
  <c r="E43" i="4"/>
  <c r="D41" i="9" s="1"/>
  <c r="D43" i="4"/>
  <c r="C41" i="9" s="1"/>
  <c r="C43" i="4"/>
  <c r="B41" i="9" s="1"/>
  <c r="H39" i="4"/>
  <c r="H40" i="4" s="1"/>
  <c r="G38" i="9" s="1"/>
  <c r="G4" i="10" s="1"/>
  <c r="G38" i="4"/>
  <c r="F38" i="4"/>
  <c r="E38" i="4"/>
  <c r="D38" i="4"/>
  <c r="C38" i="4"/>
  <c r="G37" i="4"/>
  <c r="F37" i="4"/>
  <c r="E37" i="4"/>
  <c r="D37" i="4"/>
  <c r="C37" i="4"/>
  <c r="G36" i="4"/>
  <c r="F36" i="4"/>
  <c r="E36" i="4"/>
  <c r="D36" i="4"/>
  <c r="C36" i="4"/>
  <c r="G35" i="4"/>
  <c r="F35" i="4"/>
  <c r="E35" i="4"/>
  <c r="D35" i="4"/>
  <c r="C35" i="4"/>
  <c r="G34" i="4"/>
  <c r="F34" i="4"/>
  <c r="E34" i="4"/>
  <c r="D34" i="4"/>
  <c r="C34" i="4"/>
  <c r="G33" i="4"/>
  <c r="F33" i="4"/>
  <c r="E33" i="4"/>
  <c r="D33" i="4"/>
  <c r="C33" i="4"/>
  <c r="G32" i="4"/>
  <c r="F32" i="4"/>
  <c r="E32" i="4"/>
  <c r="D32" i="4"/>
  <c r="C32" i="4"/>
  <c r="G31" i="4"/>
  <c r="F31" i="4"/>
  <c r="E31" i="4"/>
  <c r="D31" i="4"/>
  <c r="C31" i="4"/>
  <c r="G30" i="4"/>
  <c r="F30" i="4"/>
  <c r="E30" i="4"/>
  <c r="D30" i="4"/>
  <c r="C30" i="4"/>
  <c r="G29" i="4"/>
  <c r="F29" i="4"/>
  <c r="E29" i="4"/>
  <c r="D29" i="4"/>
  <c r="C29" i="4"/>
  <c r="G28" i="4"/>
  <c r="F28" i="4"/>
  <c r="E28" i="4"/>
  <c r="D28" i="4"/>
  <c r="C28" i="4"/>
  <c r="G27" i="4"/>
  <c r="F27" i="4"/>
  <c r="E27" i="4"/>
  <c r="D27" i="4"/>
  <c r="C27" i="4"/>
  <c r="G26" i="4"/>
  <c r="F26" i="4"/>
  <c r="E26" i="4"/>
  <c r="D26" i="4"/>
  <c r="C26" i="4"/>
  <c r="G25" i="4"/>
  <c r="F25" i="4"/>
  <c r="E25" i="4"/>
  <c r="D25" i="4"/>
  <c r="C25" i="4"/>
  <c r="G24" i="4"/>
  <c r="F24" i="4"/>
  <c r="E24" i="4"/>
  <c r="D24" i="4"/>
  <c r="C24" i="4"/>
  <c r="G23" i="4"/>
  <c r="F22" i="9" s="1"/>
  <c r="F23" i="4"/>
  <c r="E22" i="9" s="1"/>
  <c r="E23" i="4"/>
  <c r="D22" i="9" s="1"/>
  <c r="D23" i="4"/>
  <c r="C22" i="9" s="1"/>
  <c r="C23" i="4"/>
  <c r="B22" i="9" s="1"/>
  <c r="H19" i="4"/>
  <c r="H20" i="4" s="1"/>
  <c r="G19" i="9" s="1"/>
  <c r="G3" i="10" s="1"/>
  <c r="B24" i="9" l="1"/>
  <c r="C23" i="6"/>
  <c r="D13" i="7" s="1"/>
  <c r="F28" i="9"/>
  <c r="G27" i="6"/>
  <c r="H53" i="7" s="1"/>
  <c r="E33" i="9"/>
  <c r="F32" i="6"/>
  <c r="G103" i="7" s="1"/>
  <c r="F42" i="9"/>
  <c r="G40" i="6"/>
  <c r="H4" i="7" s="1"/>
  <c r="B46" i="9"/>
  <c r="C44" i="6"/>
  <c r="D44" i="7" s="1"/>
  <c r="C49" i="9"/>
  <c r="D47" i="6"/>
  <c r="E74" i="7" s="1"/>
  <c r="D52" i="9"/>
  <c r="E50" i="6"/>
  <c r="F104" i="7" s="1"/>
  <c r="E55" i="9"/>
  <c r="F53" i="6"/>
  <c r="G134" i="7" s="1"/>
  <c r="C6" i="9"/>
  <c r="D6" i="6"/>
  <c r="E22" i="7" s="1"/>
  <c r="F7" i="9"/>
  <c r="G7" i="6"/>
  <c r="H32" i="7" s="1"/>
  <c r="D9" i="9"/>
  <c r="E9" i="6"/>
  <c r="F52" i="7" s="1"/>
  <c r="B11" i="9"/>
  <c r="C11" i="6"/>
  <c r="D72" i="7" s="1"/>
  <c r="E12" i="9"/>
  <c r="F12" i="6"/>
  <c r="G82" i="7" s="1"/>
  <c r="C14" i="9"/>
  <c r="D14" i="6"/>
  <c r="E102" i="7" s="1"/>
  <c r="F15" i="9"/>
  <c r="G15" i="6"/>
  <c r="H112" i="7" s="1"/>
  <c r="D17" i="9"/>
  <c r="E17" i="6"/>
  <c r="F132" i="7" s="1"/>
  <c r="C27" i="9"/>
  <c r="D26" i="6"/>
  <c r="E43" i="7" s="1"/>
  <c r="F36" i="9"/>
  <c r="G35" i="6"/>
  <c r="H133" i="7" s="1"/>
  <c r="E4" i="9"/>
  <c r="F4" i="6"/>
  <c r="G2" i="7" s="1"/>
  <c r="C24" i="9"/>
  <c r="D23" i="6"/>
  <c r="E13" i="7" s="1"/>
  <c r="F25" i="9"/>
  <c r="G24" i="6"/>
  <c r="H23" i="7" s="1"/>
  <c r="D27" i="9"/>
  <c r="E26" i="6"/>
  <c r="F43" i="7" s="1"/>
  <c r="B29" i="9"/>
  <c r="C28" i="6"/>
  <c r="D63" i="7" s="1"/>
  <c r="E30" i="9"/>
  <c r="F29" i="6"/>
  <c r="G73" i="7" s="1"/>
  <c r="C32" i="9"/>
  <c r="D31" i="6"/>
  <c r="E93" i="7" s="1"/>
  <c r="F33" i="9"/>
  <c r="G32" i="6"/>
  <c r="H103" i="7" s="1"/>
  <c r="D35" i="9"/>
  <c r="E34" i="6"/>
  <c r="F123" i="7" s="1"/>
  <c r="B37" i="9"/>
  <c r="C36" i="6"/>
  <c r="D143" i="7" s="1"/>
  <c r="B43" i="9"/>
  <c r="C41" i="6"/>
  <c r="D14" i="7" s="1"/>
  <c r="E44" i="9"/>
  <c r="F42" i="6"/>
  <c r="G24" i="7" s="1"/>
  <c r="C46" i="9"/>
  <c r="D44" i="6"/>
  <c r="E44" i="7" s="1"/>
  <c r="F47" i="9"/>
  <c r="G45" i="6"/>
  <c r="H54" i="7" s="1"/>
  <c r="D49" i="9"/>
  <c r="E47" i="6"/>
  <c r="F74" i="7" s="1"/>
  <c r="B51" i="9"/>
  <c r="C49" i="6"/>
  <c r="D94" i="7" s="1"/>
  <c r="E52" i="9"/>
  <c r="F50" i="6"/>
  <c r="G104" i="7" s="1"/>
  <c r="C54" i="9"/>
  <c r="D52" i="6"/>
  <c r="E124" i="7" s="1"/>
  <c r="F55" i="9"/>
  <c r="G53" i="6"/>
  <c r="H134" i="7" s="1"/>
  <c r="F4" i="9"/>
  <c r="G4" i="6"/>
  <c r="H2" i="7" s="1"/>
  <c r="D6" i="9"/>
  <c r="E6" i="6"/>
  <c r="F22" i="7" s="1"/>
  <c r="B8" i="9"/>
  <c r="C8" i="6"/>
  <c r="D42" i="7" s="1"/>
  <c r="E9" i="9"/>
  <c r="F9" i="6"/>
  <c r="G52" i="7" s="1"/>
  <c r="C11" i="9"/>
  <c r="D11" i="6"/>
  <c r="E72" i="7" s="1"/>
  <c r="F12" i="9"/>
  <c r="G12" i="6"/>
  <c r="H82" i="7" s="1"/>
  <c r="D14" i="9"/>
  <c r="E14" i="6"/>
  <c r="F102" i="7" s="1"/>
  <c r="B16" i="9"/>
  <c r="C16" i="6"/>
  <c r="D122" i="7" s="1"/>
  <c r="E17" i="9"/>
  <c r="F17" i="6"/>
  <c r="G132" i="7" s="1"/>
  <c r="D30" i="9"/>
  <c r="E29" i="6"/>
  <c r="F73" i="7" s="1"/>
  <c r="C35" i="9"/>
  <c r="D34" i="6"/>
  <c r="E123" i="7" s="1"/>
  <c r="D24" i="9"/>
  <c r="E23" i="6"/>
  <c r="F13" i="7" s="1"/>
  <c r="B26" i="9"/>
  <c r="C25" i="6"/>
  <c r="D33" i="7" s="1"/>
  <c r="E27" i="9"/>
  <c r="F26" i="6"/>
  <c r="G43" i="7" s="1"/>
  <c r="C29" i="9"/>
  <c r="D28" i="6"/>
  <c r="E63" i="7" s="1"/>
  <c r="F30" i="9"/>
  <c r="G29" i="6"/>
  <c r="H73" i="7" s="1"/>
  <c r="D32" i="9"/>
  <c r="E31" i="6"/>
  <c r="F93" i="7" s="1"/>
  <c r="B34" i="9"/>
  <c r="C33" i="6"/>
  <c r="D113" i="7" s="1"/>
  <c r="E35" i="9"/>
  <c r="F34" i="6"/>
  <c r="G123" i="7" s="1"/>
  <c r="C37" i="9"/>
  <c r="D36" i="6"/>
  <c r="E143" i="7" s="1"/>
  <c r="C43" i="9"/>
  <c r="D41" i="6"/>
  <c r="E14" i="7" s="1"/>
  <c r="F44" i="9"/>
  <c r="G42" i="6"/>
  <c r="H24" i="7" s="1"/>
  <c r="D46" i="9"/>
  <c r="E44" i="6"/>
  <c r="F44" i="7" s="1"/>
  <c r="B48" i="9"/>
  <c r="C46" i="6"/>
  <c r="D64" i="7" s="1"/>
  <c r="E49" i="9"/>
  <c r="F47" i="6"/>
  <c r="G74" i="7" s="1"/>
  <c r="C51" i="9"/>
  <c r="D49" i="6"/>
  <c r="E94" i="7" s="1"/>
  <c r="F52" i="9"/>
  <c r="G50" i="6"/>
  <c r="H104" i="7" s="1"/>
  <c r="D54" i="9"/>
  <c r="E52" i="6"/>
  <c r="F124" i="7" s="1"/>
  <c r="B56" i="9"/>
  <c r="C54" i="6"/>
  <c r="D144" i="7" s="1"/>
  <c r="B5" i="9"/>
  <c r="C5" i="6"/>
  <c r="D12" i="7" s="1"/>
  <c r="E6" i="9"/>
  <c r="F6" i="6"/>
  <c r="G22" i="7" s="1"/>
  <c r="C8" i="9"/>
  <c r="D8" i="6"/>
  <c r="E42" i="7" s="1"/>
  <c r="F9" i="9"/>
  <c r="G9" i="6"/>
  <c r="H52" i="7" s="1"/>
  <c r="D11" i="9"/>
  <c r="E11" i="6"/>
  <c r="F72" i="7" s="1"/>
  <c r="B13" i="9"/>
  <c r="C13" i="6"/>
  <c r="D92" i="7" s="1"/>
  <c r="E14" i="9"/>
  <c r="F14" i="6"/>
  <c r="G102" i="7" s="1"/>
  <c r="C16" i="9"/>
  <c r="D16" i="6"/>
  <c r="E122" i="7" s="1"/>
  <c r="F17" i="9"/>
  <c r="G17" i="6"/>
  <c r="H132" i="7" s="1"/>
  <c r="E25" i="9"/>
  <c r="F24" i="6"/>
  <c r="G23" i="7" s="1"/>
  <c r="B32" i="9"/>
  <c r="C31" i="6"/>
  <c r="D93" i="7" s="1"/>
  <c r="D44" i="9"/>
  <c r="E42" i="6"/>
  <c r="F24" i="7" s="1"/>
  <c r="E47" i="9"/>
  <c r="F45" i="6"/>
  <c r="G54" i="7" s="1"/>
  <c r="F50" i="9"/>
  <c r="G48" i="6"/>
  <c r="H84" i="7" s="1"/>
  <c r="B54" i="9"/>
  <c r="C52" i="6"/>
  <c r="D124" i="7" s="1"/>
  <c r="B23" i="9"/>
  <c r="C22" i="6"/>
  <c r="D3" i="7" s="1"/>
  <c r="E24" i="9"/>
  <c r="F23" i="6"/>
  <c r="G13" i="7" s="1"/>
  <c r="C26" i="9"/>
  <c r="D25" i="6"/>
  <c r="E33" i="7" s="1"/>
  <c r="F27" i="9"/>
  <c r="G26" i="6"/>
  <c r="H43" i="7" s="1"/>
  <c r="D29" i="9"/>
  <c r="E28" i="6"/>
  <c r="F63" i="7" s="1"/>
  <c r="B31" i="9"/>
  <c r="C30" i="6"/>
  <c r="D83" i="7" s="1"/>
  <c r="E32" i="9"/>
  <c r="F31" i="6"/>
  <c r="G93" i="7" s="1"/>
  <c r="C34" i="9"/>
  <c r="D33" i="6"/>
  <c r="E113" i="7" s="1"/>
  <c r="F35" i="9"/>
  <c r="G34" i="6"/>
  <c r="H123" i="7" s="1"/>
  <c r="D37" i="9"/>
  <c r="E36" i="6"/>
  <c r="F143" i="7" s="1"/>
  <c r="D43" i="9"/>
  <c r="E41" i="6"/>
  <c r="F14" i="7" s="1"/>
  <c r="B45" i="9"/>
  <c r="C43" i="6"/>
  <c r="D34" i="7" s="1"/>
  <c r="E46" i="9"/>
  <c r="F44" i="6"/>
  <c r="G44" i="7" s="1"/>
  <c r="C48" i="9"/>
  <c r="D46" i="6"/>
  <c r="E64" i="7" s="1"/>
  <c r="F49" i="9"/>
  <c r="G47" i="6"/>
  <c r="H74" i="7" s="1"/>
  <c r="D51" i="9"/>
  <c r="E49" i="6"/>
  <c r="F94" i="7" s="1"/>
  <c r="B53" i="9"/>
  <c r="C51" i="6"/>
  <c r="D114" i="7" s="1"/>
  <c r="E54" i="9"/>
  <c r="F52" i="6"/>
  <c r="G124" i="7" s="1"/>
  <c r="C56" i="9"/>
  <c r="D54" i="6"/>
  <c r="E144" i="7" s="1"/>
  <c r="C5" i="9"/>
  <c r="D5" i="6"/>
  <c r="E12" i="7" s="1"/>
  <c r="F6" i="9"/>
  <c r="G6" i="6"/>
  <c r="H22" i="7" s="1"/>
  <c r="D8" i="9"/>
  <c r="E8" i="6"/>
  <c r="F42" i="7" s="1"/>
  <c r="B10" i="9"/>
  <c r="C10" i="6"/>
  <c r="D62" i="7" s="1"/>
  <c r="E11" i="9"/>
  <c r="F11" i="6"/>
  <c r="G72" i="7" s="1"/>
  <c r="C13" i="9"/>
  <c r="D13" i="6"/>
  <c r="E92" i="7" s="1"/>
  <c r="F14" i="9"/>
  <c r="G14" i="6"/>
  <c r="H102" i="7" s="1"/>
  <c r="D16" i="9"/>
  <c r="E16" i="6"/>
  <c r="F122" i="7" s="1"/>
  <c r="B18" i="9"/>
  <c r="C18" i="6"/>
  <c r="D142" i="7" s="1"/>
  <c r="D56" i="9"/>
  <c r="E54" i="6"/>
  <c r="F144" i="7" s="1"/>
  <c r="D5" i="9"/>
  <c r="E5" i="6"/>
  <c r="F12" i="7" s="1"/>
  <c r="B7" i="9"/>
  <c r="C7" i="6"/>
  <c r="D32" i="7" s="1"/>
  <c r="E8" i="9"/>
  <c r="F8" i="6"/>
  <c r="G42" i="7" s="1"/>
  <c r="C10" i="9"/>
  <c r="D10" i="6"/>
  <c r="E62" i="7" s="1"/>
  <c r="F11" i="9"/>
  <c r="G11" i="6"/>
  <c r="H72" i="7" s="1"/>
  <c r="D13" i="9"/>
  <c r="E13" i="6"/>
  <c r="F92" i="7" s="1"/>
  <c r="B15" i="9"/>
  <c r="C15" i="6"/>
  <c r="D112" i="7" s="1"/>
  <c r="E16" i="9"/>
  <c r="F16" i="6"/>
  <c r="G122" i="7" s="1"/>
  <c r="C18" i="9"/>
  <c r="D18" i="6"/>
  <c r="E142" i="7" s="1"/>
  <c r="C23" i="9"/>
  <c r="D22" i="6"/>
  <c r="E3" i="7" s="1"/>
  <c r="B28" i="9"/>
  <c r="C27" i="6"/>
  <c r="D53" i="7" s="1"/>
  <c r="F32" i="9"/>
  <c r="G31" i="6"/>
  <c r="H93" i="7" s="1"/>
  <c r="E37" i="9"/>
  <c r="F36" i="6"/>
  <c r="G143" i="7" s="1"/>
  <c r="F46" i="9"/>
  <c r="G44" i="6"/>
  <c r="H44" i="7" s="1"/>
  <c r="D23" i="9"/>
  <c r="E22" i="6"/>
  <c r="F3" i="7" s="1"/>
  <c r="B25" i="9"/>
  <c r="C24" i="6"/>
  <c r="D23" i="7" s="1"/>
  <c r="E26" i="9"/>
  <c r="F25" i="6"/>
  <c r="G33" i="7" s="1"/>
  <c r="C28" i="9"/>
  <c r="D27" i="6"/>
  <c r="E53" i="7" s="1"/>
  <c r="F29" i="9"/>
  <c r="G28" i="6"/>
  <c r="H63" i="7" s="1"/>
  <c r="D31" i="9"/>
  <c r="E30" i="6"/>
  <c r="F83" i="7" s="1"/>
  <c r="B33" i="9"/>
  <c r="C32" i="6"/>
  <c r="D103" i="7" s="1"/>
  <c r="E34" i="9"/>
  <c r="F33" i="6"/>
  <c r="G113" i="7" s="1"/>
  <c r="C36" i="9"/>
  <c r="D35" i="6"/>
  <c r="E133" i="7" s="1"/>
  <c r="F37" i="9"/>
  <c r="G36" i="6"/>
  <c r="H143" i="7" s="1"/>
  <c r="C42" i="9"/>
  <c r="D40" i="6"/>
  <c r="E4" i="7" s="1"/>
  <c r="F43" i="9"/>
  <c r="G41" i="6"/>
  <c r="H14" i="7" s="1"/>
  <c r="D45" i="9"/>
  <c r="E43" i="6"/>
  <c r="F34" i="7" s="1"/>
  <c r="B47" i="9"/>
  <c r="C45" i="6"/>
  <c r="D54" i="7" s="1"/>
  <c r="E48" i="9"/>
  <c r="F46" i="6"/>
  <c r="G64" i="7" s="1"/>
  <c r="C50" i="9"/>
  <c r="D48" i="6"/>
  <c r="E84" i="7" s="1"/>
  <c r="F51" i="9"/>
  <c r="G49" i="6"/>
  <c r="H94" i="7" s="1"/>
  <c r="D53" i="9"/>
  <c r="E51" i="6"/>
  <c r="F114" i="7" s="1"/>
  <c r="B55" i="9"/>
  <c r="C53" i="6"/>
  <c r="D134" i="7" s="1"/>
  <c r="E56" i="9"/>
  <c r="F54" i="6"/>
  <c r="G144" i="7" s="1"/>
  <c r="B4" i="9"/>
  <c r="C4" i="6"/>
  <c r="D2" i="7" s="1"/>
  <c r="E5" i="9"/>
  <c r="F5" i="6"/>
  <c r="G12" i="7" s="1"/>
  <c r="C7" i="9"/>
  <c r="D7" i="6"/>
  <c r="E32" i="7" s="1"/>
  <c r="F8" i="9"/>
  <c r="G8" i="6"/>
  <c r="H42" i="7" s="1"/>
  <c r="D10" i="9"/>
  <c r="E10" i="6"/>
  <c r="F62" i="7" s="1"/>
  <c r="B12" i="9"/>
  <c r="C12" i="6"/>
  <c r="D82" i="7" s="1"/>
  <c r="E13" i="9"/>
  <c r="F13" i="6"/>
  <c r="G92" i="7" s="1"/>
  <c r="C15" i="9"/>
  <c r="D15" i="6"/>
  <c r="E112" i="7" s="1"/>
  <c r="F16" i="9"/>
  <c r="G16" i="6"/>
  <c r="H122" i="7" s="1"/>
  <c r="D18" i="9"/>
  <c r="E18" i="6"/>
  <c r="F142" i="7" s="1"/>
  <c r="F24" i="9"/>
  <c r="G23" i="6"/>
  <c r="H13" i="7" s="1"/>
  <c r="E29" i="9"/>
  <c r="F28" i="6"/>
  <c r="G63" i="7" s="1"/>
  <c r="D34" i="9"/>
  <c r="E33" i="6"/>
  <c r="F113" i="7" s="1"/>
  <c r="B42" i="9"/>
  <c r="C40" i="6"/>
  <c r="D4" i="7" s="1"/>
  <c r="C45" i="9"/>
  <c r="D43" i="6"/>
  <c r="E34" i="7" s="1"/>
  <c r="B50" i="9"/>
  <c r="C48" i="6"/>
  <c r="D84" i="7" s="1"/>
  <c r="C53" i="9"/>
  <c r="D51" i="6"/>
  <c r="E114" i="7" s="1"/>
  <c r="C25" i="9"/>
  <c r="D24" i="6"/>
  <c r="E23" i="7" s="1"/>
  <c r="F26" i="9"/>
  <c r="G25" i="6"/>
  <c r="H33" i="7" s="1"/>
  <c r="D28" i="9"/>
  <c r="E27" i="6"/>
  <c r="F53" i="7" s="1"/>
  <c r="B30" i="9"/>
  <c r="C29" i="6"/>
  <c r="D73" i="7" s="1"/>
  <c r="E31" i="9"/>
  <c r="F30" i="6"/>
  <c r="G83" i="7" s="1"/>
  <c r="C33" i="9"/>
  <c r="D32" i="6"/>
  <c r="E103" i="7" s="1"/>
  <c r="F34" i="9"/>
  <c r="G33" i="6"/>
  <c r="H113" i="7" s="1"/>
  <c r="D36" i="9"/>
  <c r="E35" i="6"/>
  <c r="F133" i="7" s="1"/>
  <c r="D42" i="9"/>
  <c r="E40" i="6"/>
  <c r="F4" i="7" s="1"/>
  <c r="B44" i="9"/>
  <c r="C42" i="6"/>
  <c r="D24" i="7" s="1"/>
  <c r="E45" i="9"/>
  <c r="F43" i="6"/>
  <c r="G34" i="7" s="1"/>
  <c r="C47" i="9"/>
  <c r="D45" i="6"/>
  <c r="E54" i="7" s="1"/>
  <c r="F48" i="9"/>
  <c r="G46" i="6"/>
  <c r="H64" i="7" s="1"/>
  <c r="D50" i="9"/>
  <c r="E48" i="6"/>
  <c r="F84" i="7" s="1"/>
  <c r="B52" i="9"/>
  <c r="C50" i="6"/>
  <c r="D104" i="7" s="1"/>
  <c r="E53" i="9"/>
  <c r="F51" i="6"/>
  <c r="G114" i="7" s="1"/>
  <c r="C55" i="9"/>
  <c r="D53" i="6"/>
  <c r="E134" i="7" s="1"/>
  <c r="F56" i="9"/>
  <c r="G54" i="6"/>
  <c r="H144" i="7" s="1"/>
  <c r="C4" i="9"/>
  <c r="D4" i="6"/>
  <c r="E2" i="7" s="1"/>
  <c r="F5" i="9"/>
  <c r="G5" i="6"/>
  <c r="H12" i="7" s="1"/>
  <c r="D7" i="9"/>
  <c r="E7" i="6"/>
  <c r="F32" i="7" s="1"/>
  <c r="B9" i="9"/>
  <c r="C9" i="6"/>
  <c r="D52" i="7" s="1"/>
  <c r="E10" i="9"/>
  <c r="F10" i="6"/>
  <c r="G62" i="7" s="1"/>
  <c r="C12" i="9"/>
  <c r="D12" i="6"/>
  <c r="E82" i="7" s="1"/>
  <c r="F13" i="9"/>
  <c r="G13" i="6"/>
  <c r="H92" i="7" s="1"/>
  <c r="D15" i="9"/>
  <c r="E15" i="6"/>
  <c r="F112" i="7" s="1"/>
  <c r="B17" i="9"/>
  <c r="C17" i="6"/>
  <c r="D132" i="7" s="1"/>
  <c r="E18" i="9"/>
  <c r="F18" i="6"/>
  <c r="G142" i="7" s="1"/>
  <c r="D26" i="9"/>
  <c r="E25" i="6"/>
  <c r="F33" i="7" s="1"/>
  <c r="C31" i="9"/>
  <c r="D30" i="6"/>
  <c r="E83" i="7" s="1"/>
  <c r="B36" i="9"/>
  <c r="C35" i="6"/>
  <c r="D133" i="7" s="1"/>
  <c r="E43" i="9"/>
  <c r="F41" i="6"/>
  <c r="G14" i="7" s="1"/>
  <c r="D48" i="9"/>
  <c r="E46" i="6"/>
  <c r="F64" i="7" s="1"/>
  <c r="E51" i="9"/>
  <c r="F49" i="6"/>
  <c r="G94" i="7" s="1"/>
  <c r="F54" i="9"/>
  <c r="G52" i="6"/>
  <c r="H124" i="7" s="1"/>
  <c r="E23" i="9"/>
  <c r="F22" i="6"/>
  <c r="G3" i="7" s="1"/>
  <c r="F23" i="9"/>
  <c r="G22" i="6"/>
  <c r="H3" i="7" s="1"/>
  <c r="D25" i="9"/>
  <c r="E24" i="6"/>
  <c r="F23" i="7" s="1"/>
  <c r="B27" i="9"/>
  <c r="C26" i="6"/>
  <c r="D43" i="7" s="1"/>
  <c r="E28" i="9"/>
  <c r="F27" i="6"/>
  <c r="G53" i="7" s="1"/>
  <c r="C30" i="9"/>
  <c r="D29" i="6"/>
  <c r="E73" i="7" s="1"/>
  <c r="F31" i="9"/>
  <c r="G30" i="6"/>
  <c r="H83" i="7" s="1"/>
  <c r="D33" i="9"/>
  <c r="E32" i="6"/>
  <c r="F103" i="7" s="1"/>
  <c r="B35" i="9"/>
  <c r="C34" i="6"/>
  <c r="D123" i="7" s="1"/>
  <c r="E36" i="9"/>
  <c r="F35" i="6"/>
  <c r="G133" i="7" s="1"/>
  <c r="E42" i="9"/>
  <c r="F40" i="6"/>
  <c r="G4" i="7" s="1"/>
  <c r="C44" i="9"/>
  <c r="D42" i="6"/>
  <c r="E24" i="7" s="1"/>
  <c r="F45" i="9"/>
  <c r="G43" i="6"/>
  <c r="H34" i="7" s="1"/>
  <c r="D47" i="9"/>
  <c r="E45" i="6"/>
  <c r="F54" i="7" s="1"/>
  <c r="B49" i="9"/>
  <c r="C47" i="6"/>
  <c r="D74" i="7" s="1"/>
  <c r="E50" i="9"/>
  <c r="F48" i="6"/>
  <c r="G84" i="7" s="1"/>
  <c r="C52" i="9"/>
  <c r="D50" i="6"/>
  <c r="E104" i="7" s="1"/>
  <c r="F53" i="9"/>
  <c r="G51" i="6"/>
  <c r="H114" i="7" s="1"/>
  <c r="D55" i="9"/>
  <c r="E53" i="6"/>
  <c r="F134" i="7" s="1"/>
  <c r="Q19" i="9"/>
  <c r="G6" i="10" s="1"/>
  <c r="D4" i="9"/>
  <c r="E4" i="6"/>
  <c r="F2" i="7" s="1"/>
  <c r="B6" i="9"/>
  <c r="C6" i="6"/>
  <c r="D22" i="7" s="1"/>
  <c r="E7" i="9"/>
  <c r="F7" i="6"/>
  <c r="G32" i="7" s="1"/>
  <c r="C9" i="9"/>
  <c r="D9" i="6"/>
  <c r="E52" i="7" s="1"/>
  <c r="F10" i="9"/>
  <c r="G10" i="6"/>
  <c r="H62" i="7" s="1"/>
  <c r="D12" i="9"/>
  <c r="E12" i="6"/>
  <c r="F82" i="7" s="1"/>
  <c r="B14" i="9"/>
  <c r="C14" i="6"/>
  <c r="D102" i="7" s="1"/>
  <c r="E15" i="9"/>
  <c r="F15" i="6"/>
  <c r="G112" i="7" s="1"/>
  <c r="C17" i="9"/>
  <c r="D17" i="6"/>
  <c r="E132" i="7" s="1"/>
  <c r="F18" i="9"/>
  <c r="G18" i="6"/>
  <c r="H142" i="7" s="1"/>
  <c r="B48" i="4"/>
  <c r="B56" i="4"/>
  <c r="B25" i="4"/>
  <c r="B33" i="4"/>
  <c r="B3" i="4"/>
  <c r="B11" i="4"/>
  <c r="B5" i="4"/>
  <c r="B13" i="4"/>
  <c r="B8" i="4"/>
  <c r="B16" i="4"/>
  <c r="B10" i="4"/>
  <c r="B18" i="4"/>
  <c r="B7" i="4"/>
  <c r="B15" i="4"/>
  <c r="B4" i="4"/>
  <c r="B12" i="4"/>
  <c r="B9" i="4"/>
  <c r="B17" i="4"/>
  <c r="B6" i="4"/>
  <c r="B14" i="4"/>
  <c r="D60" i="4"/>
  <c r="C57" i="9" s="1"/>
  <c r="C5" i="10" s="1"/>
  <c r="B50" i="4"/>
  <c r="B58" i="4"/>
  <c r="B27" i="4"/>
  <c r="B24" i="4"/>
  <c r="B45" i="4"/>
  <c r="B30" i="4"/>
  <c r="B38" i="4"/>
  <c r="B32" i="4"/>
  <c r="B35" i="4"/>
  <c r="B53" i="4"/>
  <c r="G60" i="4"/>
  <c r="F57" i="9" s="1"/>
  <c r="F5" i="10" s="1"/>
  <c r="B47" i="4"/>
  <c r="B55" i="4"/>
  <c r="E60" i="4"/>
  <c r="D57" i="9" s="1"/>
  <c r="D5" i="10" s="1"/>
  <c r="B44" i="4"/>
  <c r="B52" i="4"/>
  <c r="F60" i="4"/>
  <c r="E57" i="9" s="1"/>
  <c r="E5" i="10" s="1"/>
  <c r="B49" i="4"/>
  <c r="B57" i="4"/>
  <c r="B46" i="4"/>
  <c r="B54" i="4"/>
  <c r="B51" i="4"/>
  <c r="B29" i="4"/>
  <c r="B37" i="4"/>
  <c r="G40" i="4"/>
  <c r="F38" i="9" s="1"/>
  <c r="F4" i="10" s="1"/>
  <c r="B26" i="4"/>
  <c r="B34" i="4"/>
  <c r="C40" i="4"/>
  <c r="B38" i="9" s="1"/>
  <c r="B4" i="10" s="1"/>
  <c r="B31" i="4"/>
  <c r="F40" i="4"/>
  <c r="E38" i="9" s="1"/>
  <c r="E4" i="10" s="1"/>
  <c r="B28" i="4"/>
  <c r="B36" i="4"/>
  <c r="C60" i="4"/>
  <c r="B57" i="9" s="1"/>
  <c r="B5" i="10" s="1"/>
  <c r="B43" i="4"/>
  <c r="H41" i="9" s="1"/>
  <c r="E40" i="4"/>
  <c r="D38" i="9" s="1"/>
  <c r="D4" i="10" s="1"/>
  <c r="D40" i="4"/>
  <c r="C38" i="9" s="1"/>
  <c r="C4" i="10" s="1"/>
  <c r="B23" i="4"/>
  <c r="H22" i="9" s="1"/>
  <c r="C20" i="4"/>
  <c r="B19" i="9" s="1"/>
  <c r="B3" i="10" s="1"/>
  <c r="D20" i="4"/>
  <c r="C19" i="9" s="1"/>
  <c r="C3" i="10" s="1"/>
  <c r="E20" i="4"/>
  <c r="D19" i="9" s="1"/>
  <c r="D3" i="10" s="1"/>
  <c r="F20" i="4"/>
  <c r="E19" i="9" s="1"/>
  <c r="E3" i="10" s="1"/>
  <c r="G20" i="4"/>
  <c r="F19" i="9" s="1"/>
  <c r="F3" i="10" s="1"/>
  <c r="D35" i="7" l="1" a="1"/>
  <c r="D37" i="7" s="1"/>
  <c r="M40" i="7" s="1"/>
  <c r="U45" i="9" s="1"/>
  <c r="L45" i="9" s="1"/>
  <c r="F95" i="7" a="1"/>
  <c r="F95" i="7" s="1"/>
  <c r="O12" i="7" s="1"/>
  <c r="W13" i="9" s="1"/>
  <c r="N13" i="9" s="1"/>
  <c r="H95" i="7" a="1"/>
  <c r="H95" i="7" s="1"/>
  <c r="Q12" i="7" s="1"/>
  <c r="Y13" i="9" s="1"/>
  <c r="P13" i="9" s="1"/>
  <c r="I4" i="10"/>
  <c r="K4" i="10" s="1"/>
  <c r="H4" i="10"/>
  <c r="I5" i="10"/>
  <c r="O5" i="10" s="1"/>
  <c r="H5" i="10"/>
  <c r="Q38" i="9"/>
  <c r="G7" i="10" s="1"/>
  <c r="H3" i="10"/>
  <c r="I3" i="10"/>
  <c r="L3" i="10" s="1"/>
  <c r="E5" i="7" a="1"/>
  <c r="E6" i="7" s="1"/>
  <c r="N20" i="7" s="1"/>
  <c r="V23" i="9" s="1"/>
  <c r="M23" i="9" s="1"/>
  <c r="G65" i="7" a="1"/>
  <c r="G70" i="7" s="1"/>
  <c r="P94" i="7" s="1"/>
  <c r="X105" i="9" s="1"/>
  <c r="O105" i="9" s="1"/>
  <c r="E115" i="7" a="1"/>
  <c r="E115" i="7" s="1"/>
  <c r="N14" i="7" s="1"/>
  <c r="V15" i="9" s="1"/>
  <c r="M15" i="9" s="1"/>
  <c r="H45" i="7" a="1"/>
  <c r="H3" i="9"/>
  <c r="B20" i="4"/>
  <c r="H19" i="9" s="1"/>
  <c r="I19" i="9" s="1"/>
  <c r="H135" i="7" a="1"/>
  <c r="H135" i="7" s="1"/>
  <c r="Q16" i="7" s="1"/>
  <c r="Y17" i="9" s="1"/>
  <c r="P17" i="9" s="1"/>
  <c r="D15" i="7" a="1"/>
  <c r="D16" i="7" s="1"/>
  <c r="M21" i="7" s="1"/>
  <c r="U24" i="9" s="1"/>
  <c r="L24" i="9" s="1"/>
  <c r="D55" i="7" a="1"/>
  <c r="D59" i="7" s="1"/>
  <c r="M76" i="7" s="1"/>
  <c r="U85" i="9" s="1"/>
  <c r="L85" i="9" s="1"/>
  <c r="F75" i="7" a="1"/>
  <c r="F78" i="7" s="1"/>
  <c r="O61" i="7" s="1"/>
  <c r="W68" i="9" s="1"/>
  <c r="N68" i="9" s="1"/>
  <c r="F125" i="7" a="1"/>
  <c r="F126" i="7" s="1"/>
  <c r="O32" i="7" s="1"/>
  <c r="W35" i="9" s="1"/>
  <c r="N35" i="9" s="1"/>
  <c r="D65" i="7" a="1"/>
  <c r="D67" i="7" s="1"/>
  <c r="M43" i="7" s="1"/>
  <c r="U48" i="9" s="1"/>
  <c r="L48" i="9" s="1"/>
  <c r="E45" i="7" a="1"/>
  <c r="E46" i="7" s="1"/>
  <c r="N24" i="7" s="1"/>
  <c r="V27" i="9" s="1"/>
  <c r="M27" i="9" s="1"/>
  <c r="E95" i="7" a="1"/>
  <c r="E96" i="7" s="1"/>
  <c r="N29" i="7" s="1"/>
  <c r="V32" i="9" s="1"/>
  <c r="M32" i="9" s="1"/>
  <c r="H25" i="7" a="1"/>
  <c r="D115" i="7" a="1"/>
  <c r="D116" i="7" s="1"/>
  <c r="M31" i="7" s="1"/>
  <c r="U34" i="9" s="1"/>
  <c r="L34" i="9" s="1"/>
  <c r="G45" i="7" a="1"/>
  <c r="G46" i="7" s="1"/>
  <c r="P24" i="7" s="1"/>
  <c r="X27" i="9" s="1"/>
  <c r="O27" i="9" s="1"/>
  <c r="E145" i="7" a="1"/>
  <c r="E146" i="7" s="1"/>
  <c r="N34" i="7" s="1"/>
  <c r="V37" i="9" s="1"/>
  <c r="M37" i="9" s="1"/>
  <c r="H105" i="7" a="1"/>
  <c r="H75" i="7" a="1"/>
  <c r="H75" i="7" s="1"/>
  <c r="Q10" i="7" s="1"/>
  <c r="Y11" i="9" s="1"/>
  <c r="P11" i="9" s="1"/>
  <c r="F15" i="7" a="1"/>
  <c r="F20" i="7" s="1"/>
  <c r="O89" i="7" s="1"/>
  <c r="W100" i="9" s="1"/>
  <c r="N100" i="9" s="1"/>
  <c r="F45" i="7" a="1"/>
  <c r="F49" i="7" s="1"/>
  <c r="O75" i="7" s="1"/>
  <c r="W84" i="9" s="1"/>
  <c r="N84" i="9" s="1"/>
  <c r="H55" i="7" a="1"/>
  <c r="H55" i="7" s="1"/>
  <c r="Q8" i="7" s="1"/>
  <c r="Y9" i="9" s="1"/>
  <c r="P9" i="9" s="1"/>
  <c r="F65" i="7" a="1"/>
  <c r="F68" i="7" s="1"/>
  <c r="O60" i="7" s="1"/>
  <c r="W67" i="9" s="1"/>
  <c r="N67" i="9" s="1"/>
  <c r="H125" i="7" a="1"/>
  <c r="D5" i="7" a="1"/>
  <c r="D7" i="7" s="1"/>
  <c r="M37" i="7" s="1"/>
  <c r="U42" i="9" s="1"/>
  <c r="G105" i="7" a="1"/>
  <c r="G107" i="7" s="1"/>
  <c r="P47" i="7" s="1"/>
  <c r="X52" i="9" s="1"/>
  <c r="O52" i="9" s="1"/>
  <c r="D95" i="7" a="1"/>
  <c r="D98" i="7" s="1"/>
  <c r="M63" i="7" s="1"/>
  <c r="U70" i="9" s="1"/>
  <c r="L70" i="9" s="1"/>
  <c r="G15" i="7" a="1"/>
  <c r="G20" i="7" s="1"/>
  <c r="P89" i="7" s="1"/>
  <c r="X100" i="9" s="1"/>
  <c r="O100" i="9" s="1"/>
  <c r="F145" i="7" a="1"/>
  <c r="F147" i="7" s="1"/>
  <c r="O51" i="7" s="1"/>
  <c r="W56" i="9" s="1"/>
  <c r="N56" i="9" s="1"/>
  <c r="D85" i="7" a="1"/>
  <c r="D87" i="7" s="1"/>
  <c r="M45" i="7" s="1"/>
  <c r="U50" i="9" s="1"/>
  <c r="L50" i="9" s="1"/>
  <c r="G145" i="7" a="1"/>
  <c r="G146" i="7" s="1"/>
  <c r="P34" i="7" s="1"/>
  <c r="X37" i="9" s="1"/>
  <c r="O37" i="9" s="1"/>
  <c r="H15" i="7" a="1"/>
  <c r="E35" i="7" a="1"/>
  <c r="E39" i="7" s="1"/>
  <c r="N74" i="7" s="1"/>
  <c r="V83" i="9" s="1"/>
  <c r="M83" i="9" s="1"/>
  <c r="E65" i="7" a="1"/>
  <c r="E65" i="7" s="1"/>
  <c r="N9" i="7" s="1"/>
  <c r="V10" i="9" s="1"/>
  <c r="M10" i="9" s="1"/>
  <c r="G125" i="7" a="1"/>
  <c r="G125" i="7" s="1"/>
  <c r="P15" i="7" s="1"/>
  <c r="X16" i="9" s="1"/>
  <c r="O16" i="9" s="1"/>
  <c r="E15" i="7" a="1"/>
  <c r="E18" i="7" s="1"/>
  <c r="N55" i="7" s="1"/>
  <c r="V62" i="9" s="1"/>
  <c r="M62" i="9" s="1"/>
  <c r="E85" i="7" a="1"/>
  <c r="E88" i="7" s="1"/>
  <c r="N62" i="7" s="1"/>
  <c r="V69" i="9" s="1"/>
  <c r="M69" i="9" s="1"/>
  <c r="D145" i="7" a="1"/>
  <c r="D150" i="7" s="1"/>
  <c r="M102" i="7" s="1"/>
  <c r="U113" i="9" s="1"/>
  <c r="L113" i="9" s="1"/>
  <c r="G75" i="7" a="1"/>
  <c r="G75" i="7" s="1"/>
  <c r="P10" i="7" s="1"/>
  <c r="X11" i="9" s="1"/>
  <c r="O11" i="9" s="1"/>
  <c r="G25" i="7" a="1"/>
  <c r="G26" i="7" s="1"/>
  <c r="P22" i="7" s="1"/>
  <c r="X25" i="9" s="1"/>
  <c r="O25" i="9" s="1"/>
  <c r="F105" i="7" a="1"/>
  <c r="F107" i="7" s="1"/>
  <c r="O47" i="7" s="1"/>
  <c r="W52" i="9" s="1"/>
  <c r="N52" i="9" s="1"/>
  <c r="D45" i="7" a="1"/>
  <c r="D47" i="7" s="1"/>
  <c r="M41" i="7" s="1"/>
  <c r="U46" i="9" s="1"/>
  <c r="L46" i="9" s="1"/>
  <c r="F135" i="7" a="1"/>
  <c r="F139" i="7" s="1"/>
  <c r="O84" i="7" s="1"/>
  <c r="W93" i="9" s="1"/>
  <c r="N93" i="9" s="1"/>
  <c r="D75" i="7" a="1"/>
  <c r="D80" i="7" s="1"/>
  <c r="M95" i="7" s="1"/>
  <c r="U106" i="9" s="1"/>
  <c r="L106" i="9" s="1"/>
  <c r="G115" i="7" a="1"/>
  <c r="G120" i="7" s="1"/>
  <c r="P99" i="7" s="1"/>
  <c r="X110" i="9" s="1"/>
  <c r="O110" i="9" s="1"/>
  <c r="E55" i="7" a="1"/>
  <c r="E58" i="7" s="1"/>
  <c r="N59" i="7" s="1"/>
  <c r="V66" i="9" s="1"/>
  <c r="M66" i="9" s="1"/>
  <c r="D135" i="7" a="1"/>
  <c r="D135" i="7" s="1"/>
  <c r="M16" i="7" s="1"/>
  <c r="U17" i="9" s="1"/>
  <c r="L17" i="9" s="1"/>
  <c r="H85" i="7" a="1"/>
  <c r="F25" i="7" a="1"/>
  <c r="F27" i="7" s="1"/>
  <c r="O39" i="7" s="1"/>
  <c r="W44" i="9" s="1"/>
  <c r="N44" i="9" s="1"/>
  <c r="G5" i="7" a="1"/>
  <c r="G9" i="7" s="1"/>
  <c r="P71" i="7" s="1"/>
  <c r="X80" i="9" s="1"/>
  <c r="O80" i="9" s="1"/>
  <c r="H115" i="7" a="1"/>
  <c r="H115" i="7" s="1"/>
  <c r="Q14" i="7" s="1"/>
  <c r="Y15" i="9" s="1"/>
  <c r="P15" i="9" s="1"/>
  <c r="F55" i="7" a="1"/>
  <c r="F57" i="7" s="1"/>
  <c r="O42" i="7" s="1"/>
  <c r="W47" i="9" s="1"/>
  <c r="N47" i="9" s="1"/>
  <c r="F115" i="7" a="1"/>
  <c r="F117" i="7" s="1"/>
  <c r="O48" i="7" s="1"/>
  <c r="W53" i="9" s="1"/>
  <c r="N53" i="9" s="1"/>
  <c r="G95" i="7" a="1"/>
  <c r="G99" i="7" s="1"/>
  <c r="P80" i="7" s="1"/>
  <c r="X89" i="9" s="1"/>
  <c r="O89" i="9" s="1"/>
  <c r="D105" i="7" a="1"/>
  <c r="D108" i="7" s="1"/>
  <c r="M64" i="7" s="1"/>
  <c r="U71" i="9" s="1"/>
  <c r="L71" i="9" s="1"/>
  <c r="G35" i="7" a="1"/>
  <c r="G35" i="7" s="1"/>
  <c r="P6" i="7" s="1"/>
  <c r="X7" i="9" s="1"/>
  <c r="O7" i="9" s="1"/>
  <c r="F35" i="7" a="1"/>
  <c r="F40" i="7" s="1"/>
  <c r="O91" i="7" s="1"/>
  <c r="W102" i="9" s="1"/>
  <c r="N102" i="9" s="1"/>
  <c r="E125" i="7" a="1"/>
  <c r="E126" i="7" s="1"/>
  <c r="N32" i="7" s="1"/>
  <c r="V35" i="9" s="1"/>
  <c r="M35" i="9" s="1"/>
  <c r="G135" i="7" a="1"/>
  <c r="G139" i="7" s="1"/>
  <c r="P84" i="7" s="1"/>
  <c r="X93" i="9" s="1"/>
  <c r="O93" i="9" s="1"/>
  <c r="H5" i="7" a="1"/>
  <c r="H5" i="7" s="1"/>
  <c r="Q3" i="7" s="1"/>
  <c r="Y4" i="9" s="1"/>
  <c r="P4" i="9" s="1"/>
  <c r="E105" i="7" a="1"/>
  <c r="E109" i="7" s="1"/>
  <c r="N81" i="7" s="1"/>
  <c r="V90" i="9" s="1"/>
  <c r="M90" i="9" s="1"/>
  <c r="H35" i="7" a="1"/>
  <c r="H35" i="7" s="1"/>
  <c r="Q6" i="7" s="1"/>
  <c r="Y7" i="9" s="1"/>
  <c r="P7" i="9" s="1"/>
  <c r="E75" i="7" a="1"/>
  <c r="E77" i="7" s="1"/>
  <c r="N44" i="7" s="1"/>
  <c r="V49" i="9" s="1"/>
  <c r="M49" i="9" s="1"/>
  <c r="H145" i="7" a="1"/>
  <c r="H145" i="7" s="1"/>
  <c r="Q17" i="7" s="1"/>
  <c r="Y18" i="9" s="1"/>
  <c r="P18" i="9" s="1"/>
  <c r="F85" i="7" a="1"/>
  <c r="F90" i="7" s="1"/>
  <c r="O96" i="7" s="1"/>
  <c r="W107" i="9" s="1"/>
  <c r="N107" i="9" s="1"/>
  <c r="D25" i="7" a="1"/>
  <c r="D27" i="7" s="1"/>
  <c r="M39" i="7" s="1"/>
  <c r="U44" i="9" s="1"/>
  <c r="L44" i="9" s="1"/>
  <c r="D125" i="7" a="1"/>
  <c r="D129" i="7" s="1"/>
  <c r="M83" i="7" s="1"/>
  <c r="U92" i="9" s="1"/>
  <c r="L92" i="9" s="1"/>
  <c r="G55" i="7" a="1"/>
  <c r="G58" i="7" s="1"/>
  <c r="P59" i="7" s="1"/>
  <c r="X66" i="9" s="1"/>
  <c r="O66" i="9" s="1"/>
  <c r="G85" i="7" a="1"/>
  <c r="G86" i="7" s="1"/>
  <c r="P28" i="7" s="1"/>
  <c r="X31" i="9" s="1"/>
  <c r="O31" i="9" s="1"/>
  <c r="E25" i="7" a="1"/>
  <c r="E28" i="7" s="1"/>
  <c r="N56" i="7" s="1"/>
  <c r="V63" i="9" s="1"/>
  <c r="M63" i="9" s="1"/>
  <c r="E135" i="7" a="1"/>
  <c r="E138" i="7" s="1"/>
  <c r="N67" i="7" s="1"/>
  <c r="V74" i="9" s="1"/>
  <c r="M74" i="9" s="1"/>
  <c r="H65" i="7" a="1"/>
  <c r="H65" i="7" s="1"/>
  <c r="Q9" i="7" s="1"/>
  <c r="Y10" i="9" s="1"/>
  <c r="P10" i="9" s="1"/>
  <c r="F5" i="7" a="1"/>
  <c r="F10" i="7" s="1"/>
  <c r="O88" i="7" s="1"/>
  <c r="W99" i="9" s="1"/>
  <c r="N99" i="9" s="1"/>
  <c r="H34" i="9"/>
  <c r="B33" i="6"/>
  <c r="I113" i="7" s="1"/>
  <c r="H36" i="9"/>
  <c r="B35" i="6"/>
  <c r="I133" i="7" s="1"/>
  <c r="H27" i="9"/>
  <c r="B26" i="6"/>
  <c r="I43" i="7" s="1"/>
  <c r="H42" i="9"/>
  <c r="B40" i="6"/>
  <c r="I4" i="7" s="1"/>
  <c r="H14" i="9"/>
  <c r="B14" i="6"/>
  <c r="I102" i="7" s="1"/>
  <c r="H18" i="9"/>
  <c r="B18" i="6"/>
  <c r="I142" i="7" s="1"/>
  <c r="H30" i="9"/>
  <c r="B29" i="6"/>
  <c r="I73" i="7" s="1"/>
  <c r="H16" i="9"/>
  <c r="B16" i="6"/>
  <c r="I122" i="7" s="1"/>
  <c r="H7" i="9"/>
  <c r="B7" i="6"/>
  <c r="I32" i="7" s="1"/>
  <c r="H52" i="9"/>
  <c r="B50" i="6"/>
  <c r="I104" i="7" s="1"/>
  <c r="H53" i="9"/>
  <c r="B51" i="6"/>
  <c r="I114" i="7" s="1"/>
  <c r="H43" i="9"/>
  <c r="B41" i="6"/>
  <c r="I14" i="7" s="1"/>
  <c r="H17" i="9"/>
  <c r="B17" i="6"/>
  <c r="I132" i="7" s="1"/>
  <c r="H54" i="9"/>
  <c r="B52" i="6"/>
  <c r="I124" i="7" s="1"/>
  <c r="H44" i="9"/>
  <c r="B42" i="6"/>
  <c r="I24" i="7" s="1"/>
  <c r="H45" i="9"/>
  <c r="B43" i="6"/>
  <c r="I34" i="7" s="1"/>
  <c r="H23" i="9"/>
  <c r="B22" i="6"/>
  <c r="I3" i="7" s="1"/>
  <c r="H9" i="9"/>
  <c r="B9" i="6"/>
  <c r="I52" i="7" s="1"/>
  <c r="H8" i="9"/>
  <c r="B8" i="6"/>
  <c r="I42" i="7" s="1"/>
  <c r="H46" i="9"/>
  <c r="B44" i="6"/>
  <c r="I44" i="7" s="1"/>
  <c r="H15" i="9"/>
  <c r="B15" i="6"/>
  <c r="I112" i="7" s="1"/>
  <c r="H50" i="9"/>
  <c r="B48" i="6"/>
  <c r="I84" i="7" s="1"/>
  <c r="H33" i="9"/>
  <c r="B32" i="6"/>
  <c r="I103" i="7" s="1"/>
  <c r="H55" i="9"/>
  <c r="B53" i="6"/>
  <c r="I134" i="7" s="1"/>
  <c r="H26" i="9"/>
  <c r="B25" i="6"/>
  <c r="I33" i="7" s="1"/>
  <c r="H12" i="9"/>
  <c r="B12" i="6"/>
  <c r="I82" i="7" s="1"/>
  <c r="H13" i="9"/>
  <c r="B13" i="6"/>
  <c r="I92" i="7" s="1"/>
  <c r="H25" i="9"/>
  <c r="B24" i="6"/>
  <c r="I23" i="7" s="1"/>
  <c r="H47" i="9"/>
  <c r="B45" i="6"/>
  <c r="I54" i="7" s="1"/>
  <c r="H51" i="9"/>
  <c r="B49" i="6"/>
  <c r="I94" i="7" s="1"/>
  <c r="H56" i="9"/>
  <c r="B54" i="6"/>
  <c r="I144" i="7" s="1"/>
  <c r="B4" i="6"/>
  <c r="I2" i="7" s="1"/>
  <c r="H4" i="9"/>
  <c r="H5" i="9"/>
  <c r="B5" i="6"/>
  <c r="I12" i="7" s="1"/>
  <c r="H48" i="9"/>
  <c r="B46" i="6"/>
  <c r="I64" i="7" s="1"/>
  <c r="H11" i="9"/>
  <c r="B11" i="6"/>
  <c r="I72" i="7" s="1"/>
  <c r="H31" i="9"/>
  <c r="B30" i="6"/>
  <c r="I83" i="7" s="1"/>
  <c r="H35" i="9"/>
  <c r="B34" i="6"/>
  <c r="I123" i="7" s="1"/>
  <c r="H28" i="9"/>
  <c r="B27" i="6"/>
  <c r="I53" i="7" s="1"/>
  <c r="H37" i="9"/>
  <c r="B36" i="6"/>
  <c r="I143" i="7" s="1"/>
  <c r="H32" i="9"/>
  <c r="B31" i="6"/>
  <c r="I93" i="7" s="1"/>
  <c r="H49" i="9"/>
  <c r="B47" i="6"/>
  <c r="I74" i="7" s="1"/>
  <c r="H29" i="9"/>
  <c r="B28" i="6"/>
  <c r="I63" i="7" s="1"/>
  <c r="H6" i="9"/>
  <c r="B6" i="6"/>
  <c r="I22" i="7" s="1"/>
  <c r="H10" i="9"/>
  <c r="B10" i="6"/>
  <c r="I62" i="7" s="1"/>
  <c r="H24" i="9"/>
  <c r="B23" i="6"/>
  <c r="I13" i="7" s="1"/>
  <c r="B40" i="4"/>
  <c r="H38" i="9" s="1"/>
  <c r="I38" i="9" s="1"/>
  <c r="B60" i="4"/>
  <c r="H57" i="9" s="1"/>
  <c r="I57" i="9" s="1"/>
  <c r="F98" i="7" l="1"/>
  <c r="O63" i="7" s="1"/>
  <c r="W70" i="9" s="1"/>
  <c r="N70" i="9" s="1"/>
  <c r="F100" i="7"/>
  <c r="O97" i="7" s="1"/>
  <c r="W108" i="9" s="1"/>
  <c r="N108" i="9" s="1"/>
  <c r="F99" i="7"/>
  <c r="O80" i="7" s="1"/>
  <c r="W89" i="9" s="1"/>
  <c r="N89" i="9" s="1"/>
  <c r="F97" i="7"/>
  <c r="O46" i="7" s="1"/>
  <c r="W51" i="9" s="1"/>
  <c r="N51" i="9" s="1"/>
  <c r="F96" i="7"/>
  <c r="O29" i="7" s="1"/>
  <c r="W32" i="9" s="1"/>
  <c r="N32" i="9" s="1"/>
  <c r="D38" i="7"/>
  <c r="M57" i="7" s="1"/>
  <c r="U64" i="9" s="1"/>
  <c r="L64" i="9" s="1"/>
  <c r="D35" i="7"/>
  <c r="M6" i="7" s="1"/>
  <c r="U7" i="9" s="1"/>
  <c r="L7" i="9" s="1"/>
  <c r="D36" i="7"/>
  <c r="M23" i="7" s="1"/>
  <c r="U26" i="9" s="1"/>
  <c r="L26" i="9" s="1"/>
  <c r="D39" i="7"/>
  <c r="M74" i="7" s="1"/>
  <c r="U83" i="9" s="1"/>
  <c r="L83" i="9" s="1"/>
  <c r="D40" i="7"/>
  <c r="M91" i="7" s="1"/>
  <c r="U102" i="9" s="1"/>
  <c r="L102" i="9" s="1"/>
  <c r="Q29" i="7"/>
  <c r="Y32" i="9" s="1"/>
  <c r="P32" i="9" s="1"/>
  <c r="Q46" i="7"/>
  <c r="Y51" i="9" s="1"/>
  <c r="P51" i="9" s="1"/>
  <c r="Q97" i="7"/>
  <c r="Y108" i="9" s="1"/>
  <c r="P108" i="9" s="1"/>
  <c r="Q63" i="7"/>
  <c r="Y70" i="9" s="1"/>
  <c r="P70" i="9" s="1"/>
  <c r="Q80" i="7"/>
  <c r="Y89" i="9" s="1"/>
  <c r="P89" i="9" s="1"/>
  <c r="O4" i="10"/>
  <c r="N3" i="10"/>
  <c r="O3" i="10"/>
  <c r="M3" i="10"/>
  <c r="L5" i="10"/>
  <c r="N5" i="10"/>
  <c r="K5" i="10"/>
  <c r="K3" i="10"/>
  <c r="P3" i="10"/>
  <c r="N4" i="10"/>
  <c r="P4" i="10"/>
  <c r="L4" i="10"/>
  <c r="Q57" i="9"/>
  <c r="G8" i="10" s="1"/>
  <c r="M5" i="10"/>
  <c r="P5" i="10"/>
  <c r="M4" i="10"/>
  <c r="E9" i="7"/>
  <c r="N71" i="7" s="1"/>
  <c r="V80" i="9" s="1"/>
  <c r="M80" i="9" s="1"/>
  <c r="E10" i="7"/>
  <c r="N88" i="7" s="1"/>
  <c r="V99" i="9" s="1"/>
  <c r="M99" i="9" s="1"/>
  <c r="E7" i="7"/>
  <c r="N37" i="7" s="1"/>
  <c r="V42" i="9" s="1"/>
  <c r="M42" i="9" s="1"/>
  <c r="E8" i="7"/>
  <c r="N54" i="7" s="1"/>
  <c r="V61" i="9" s="1"/>
  <c r="M61" i="9" s="1"/>
  <c r="E5" i="7"/>
  <c r="N3" i="7" s="1"/>
  <c r="V4" i="9" s="1"/>
  <c r="M4" i="9" s="1"/>
  <c r="G67" i="7"/>
  <c r="P43" i="7" s="1"/>
  <c r="X48" i="9" s="1"/>
  <c r="O48" i="9" s="1"/>
  <c r="G65" i="7"/>
  <c r="P9" i="7" s="1"/>
  <c r="X10" i="9" s="1"/>
  <c r="O10" i="9" s="1"/>
  <c r="G69" i="7"/>
  <c r="P77" i="7" s="1"/>
  <c r="X86" i="9" s="1"/>
  <c r="O86" i="9" s="1"/>
  <c r="G68" i="7"/>
  <c r="P60" i="7" s="1"/>
  <c r="X67" i="9" s="1"/>
  <c r="O67" i="9" s="1"/>
  <c r="G66" i="7"/>
  <c r="P26" i="7" s="1"/>
  <c r="X29" i="9" s="1"/>
  <c r="O29" i="9" s="1"/>
  <c r="H45" i="7"/>
  <c r="Q7" i="7" s="1"/>
  <c r="Y8" i="9" s="1"/>
  <c r="P8" i="9" s="1"/>
  <c r="Q58" i="7"/>
  <c r="Y65" i="9" s="1"/>
  <c r="P65" i="9" s="1"/>
  <c r="Q75" i="7"/>
  <c r="Y84" i="9" s="1"/>
  <c r="P84" i="9" s="1"/>
  <c r="Q24" i="7"/>
  <c r="Y27" i="9" s="1"/>
  <c r="P27" i="9" s="1"/>
  <c r="Q41" i="7"/>
  <c r="Y46" i="9" s="1"/>
  <c r="P46" i="9" s="1"/>
  <c r="Q92" i="7"/>
  <c r="Y103" i="9" s="1"/>
  <c r="P103" i="9" s="1"/>
  <c r="E117" i="7"/>
  <c r="N48" i="7" s="1"/>
  <c r="V53" i="9" s="1"/>
  <c r="M53" i="9" s="1"/>
  <c r="E118" i="7"/>
  <c r="N65" i="7" s="1"/>
  <c r="V72" i="9" s="1"/>
  <c r="M72" i="9" s="1"/>
  <c r="E116" i="7"/>
  <c r="N31" i="7" s="1"/>
  <c r="V34" i="9" s="1"/>
  <c r="M34" i="9" s="1"/>
  <c r="E120" i="7"/>
  <c r="N99" i="7" s="1"/>
  <c r="V110" i="9" s="1"/>
  <c r="M110" i="9" s="1"/>
  <c r="E119" i="7"/>
  <c r="N82" i="7" s="1"/>
  <c r="V91" i="9" s="1"/>
  <c r="M91" i="9" s="1"/>
  <c r="D55" i="7"/>
  <c r="M8" i="7" s="1"/>
  <c r="U9" i="9" s="1"/>
  <c r="L9" i="9" s="1"/>
  <c r="F76" i="7"/>
  <c r="O27" i="7" s="1"/>
  <c r="W30" i="9" s="1"/>
  <c r="N30" i="9" s="1"/>
  <c r="D56" i="7"/>
  <c r="M25" i="7" s="1"/>
  <c r="U28" i="9" s="1"/>
  <c r="L28" i="9" s="1"/>
  <c r="D58" i="7"/>
  <c r="M59" i="7" s="1"/>
  <c r="U66" i="9" s="1"/>
  <c r="L66" i="9" s="1"/>
  <c r="D60" i="7"/>
  <c r="M93" i="7" s="1"/>
  <c r="U104" i="9" s="1"/>
  <c r="L104" i="9" s="1"/>
  <c r="D57" i="7"/>
  <c r="M42" i="7" s="1"/>
  <c r="U47" i="9" s="1"/>
  <c r="L47" i="9" s="1"/>
  <c r="D18" i="7"/>
  <c r="M55" i="7" s="1"/>
  <c r="U62" i="9" s="1"/>
  <c r="L62" i="9" s="1"/>
  <c r="D17" i="7"/>
  <c r="M38" i="7" s="1"/>
  <c r="U43" i="9" s="1"/>
  <c r="L43" i="9" s="1"/>
  <c r="D15" i="7"/>
  <c r="M4" i="7" s="1"/>
  <c r="U5" i="9" s="1"/>
  <c r="L5" i="9" s="1"/>
  <c r="D20" i="7"/>
  <c r="M89" i="7" s="1"/>
  <c r="U100" i="9" s="1"/>
  <c r="L100" i="9" s="1"/>
  <c r="D19" i="7"/>
  <c r="M72" i="7" s="1"/>
  <c r="U81" i="9" s="1"/>
  <c r="L81" i="9" s="1"/>
  <c r="F77" i="7"/>
  <c r="O44" i="7" s="1"/>
  <c r="W49" i="9" s="1"/>
  <c r="N49" i="9" s="1"/>
  <c r="Q33" i="7"/>
  <c r="Y36" i="9" s="1"/>
  <c r="P36" i="9" s="1"/>
  <c r="Q50" i="7"/>
  <c r="Y55" i="9" s="1"/>
  <c r="P55" i="9" s="1"/>
  <c r="Q101" i="7"/>
  <c r="Y112" i="9" s="1"/>
  <c r="P112" i="9" s="1"/>
  <c r="Q67" i="7"/>
  <c r="Y74" i="9" s="1"/>
  <c r="P74" i="9" s="1"/>
  <c r="Q84" i="7"/>
  <c r="Y93" i="9" s="1"/>
  <c r="P93" i="9" s="1"/>
  <c r="F75" i="7"/>
  <c r="O10" i="7" s="1"/>
  <c r="W11" i="9" s="1"/>
  <c r="N11" i="9" s="1"/>
  <c r="F79" i="7"/>
  <c r="O78" i="7" s="1"/>
  <c r="W87" i="9" s="1"/>
  <c r="N87" i="9" s="1"/>
  <c r="F80" i="7"/>
  <c r="O95" i="7" s="1"/>
  <c r="W106" i="9" s="1"/>
  <c r="N106" i="9" s="1"/>
  <c r="F127" i="7"/>
  <c r="O49" i="7" s="1"/>
  <c r="W54" i="9" s="1"/>
  <c r="N54" i="9" s="1"/>
  <c r="F130" i="7"/>
  <c r="O100" i="7" s="1"/>
  <c r="W111" i="9" s="1"/>
  <c r="N111" i="9" s="1"/>
  <c r="F129" i="7"/>
  <c r="O83" i="7" s="1"/>
  <c r="W92" i="9" s="1"/>
  <c r="N92" i="9" s="1"/>
  <c r="F128" i="7"/>
  <c r="O66" i="7" s="1"/>
  <c r="W73" i="9" s="1"/>
  <c r="N73" i="9" s="1"/>
  <c r="D69" i="7"/>
  <c r="M77" i="7" s="1"/>
  <c r="U86" i="9" s="1"/>
  <c r="L86" i="9" s="1"/>
  <c r="D66" i="7"/>
  <c r="M26" i="7" s="1"/>
  <c r="U29" i="9" s="1"/>
  <c r="L29" i="9" s="1"/>
  <c r="E50" i="7"/>
  <c r="N92" i="7" s="1"/>
  <c r="V103" i="9" s="1"/>
  <c r="M103" i="9" s="1"/>
  <c r="E49" i="7"/>
  <c r="N75" i="7" s="1"/>
  <c r="V84" i="9" s="1"/>
  <c r="M84" i="9" s="1"/>
  <c r="F125" i="7"/>
  <c r="O15" i="7" s="1"/>
  <c r="W16" i="9" s="1"/>
  <c r="N16" i="9" s="1"/>
  <c r="D65" i="7"/>
  <c r="M9" i="7" s="1"/>
  <c r="U10" i="9" s="1"/>
  <c r="L10" i="9" s="1"/>
  <c r="D70" i="7"/>
  <c r="M94" i="7" s="1"/>
  <c r="U105" i="9" s="1"/>
  <c r="L105" i="9" s="1"/>
  <c r="D68" i="7"/>
  <c r="M60" i="7" s="1"/>
  <c r="U67" i="9" s="1"/>
  <c r="L67" i="9" s="1"/>
  <c r="E100" i="7"/>
  <c r="N97" i="7" s="1"/>
  <c r="V108" i="9" s="1"/>
  <c r="M108" i="9" s="1"/>
  <c r="E47" i="7"/>
  <c r="N41" i="7" s="1"/>
  <c r="V46" i="9" s="1"/>
  <c r="M46" i="9" s="1"/>
  <c r="E48" i="7"/>
  <c r="N58" i="7" s="1"/>
  <c r="V65" i="9" s="1"/>
  <c r="M65" i="9" s="1"/>
  <c r="D115" i="7"/>
  <c r="M14" i="7" s="1"/>
  <c r="U15" i="9" s="1"/>
  <c r="L15" i="9" s="1"/>
  <c r="E45" i="7"/>
  <c r="N7" i="7" s="1"/>
  <c r="V8" i="9" s="1"/>
  <c r="M8" i="9" s="1"/>
  <c r="E150" i="7"/>
  <c r="N102" i="7" s="1"/>
  <c r="V113" i="9" s="1"/>
  <c r="M113" i="9" s="1"/>
  <c r="D118" i="7"/>
  <c r="M65" i="7" s="1"/>
  <c r="U72" i="9" s="1"/>
  <c r="L72" i="9" s="1"/>
  <c r="D120" i="7"/>
  <c r="M99" i="7" s="1"/>
  <c r="U110" i="9" s="1"/>
  <c r="L110" i="9" s="1"/>
  <c r="D117" i="7"/>
  <c r="M48" i="7" s="1"/>
  <c r="U53" i="9" s="1"/>
  <c r="L53" i="9" s="1"/>
  <c r="D119" i="7"/>
  <c r="M82" i="7" s="1"/>
  <c r="U91" i="9" s="1"/>
  <c r="L91" i="9" s="1"/>
  <c r="G110" i="7"/>
  <c r="P98" i="7" s="1"/>
  <c r="X109" i="9" s="1"/>
  <c r="O109" i="9" s="1"/>
  <c r="G105" i="7"/>
  <c r="P13" i="7" s="1"/>
  <c r="X14" i="9" s="1"/>
  <c r="O14" i="9" s="1"/>
  <c r="G106" i="7"/>
  <c r="P30" i="7" s="1"/>
  <c r="X33" i="9" s="1"/>
  <c r="O33" i="9" s="1"/>
  <c r="E98" i="7"/>
  <c r="N63" i="7" s="1"/>
  <c r="V70" i="9" s="1"/>
  <c r="M70" i="9" s="1"/>
  <c r="G49" i="7"/>
  <c r="P75" i="7" s="1"/>
  <c r="X84" i="9" s="1"/>
  <c r="O84" i="9" s="1"/>
  <c r="G45" i="7"/>
  <c r="P7" i="7" s="1"/>
  <c r="X8" i="9" s="1"/>
  <c r="O8" i="9" s="1"/>
  <c r="G48" i="7"/>
  <c r="P58" i="7" s="1"/>
  <c r="X65" i="9" s="1"/>
  <c r="O65" i="9" s="1"/>
  <c r="G47" i="7"/>
  <c r="P41" i="7" s="1"/>
  <c r="X46" i="9" s="1"/>
  <c r="O46" i="9" s="1"/>
  <c r="D6" i="7"/>
  <c r="M20" i="7" s="1"/>
  <c r="U23" i="9" s="1"/>
  <c r="L23" i="9" s="1"/>
  <c r="G108" i="7"/>
  <c r="P64" i="7" s="1"/>
  <c r="X71" i="9" s="1"/>
  <c r="O71" i="9" s="1"/>
  <c r="E95" i="7"/>
  <c r="N12" i="7" s="1"/>
  <c r="V13" i="9" s="1"/>
  <c r="M13" i="9" s="1"/>
  <c r="E97" i="7"/>
  <c r="N46" i="7" s="1"/>
  <c r="V51" i="9" s="1"/>
  <c r="M51" i="9" s="1"/>
  <c r="E147" i="7"/>
  <c r="N51" i="7" s="1"/>
  <c r="V56" i="9" s="1"/>
  <c r="M56" i="9" s="1"/>
  <c r="G109" i="7"/>
  <c r="P81" i="7" s="1"/>
  <c r="X90" i="9" s="1"/>
  <c r="O90" i="9" s="1"/>
  <c r="E99" i="7"/>
  <c r="N80" i="7" s="1"/>
  <c r="V89" i="9" s="1"/>
  <c r="M89" i="9" s="1"/>
  <c r="F150" i="7"/>
  <c r="O102" i="7" s="1"/>
  <c r="W113" i="9" s="1"/>
  <c r="N113" i="9" s="1"/>
  <c r="H105" i="7"/>
  <c r="Q13" i="7" s="1"/>
  <c r="Y14" i="9" s="1"/>
  <c r="P14" i="9" s="1"/>
  <c r="Q98" i="7"/>
  <c r="Y109" i="9" s="1"/>
  <c r="P109" i="9" s="1"/>
  <c r="Q81" i="7"/>
  <c r="Y90" i="9" s="1"/>
  <c r="P90" i="9" s="1"/>
  <c r="Q30" i="7"/>
  <c r="Y33" i="9" s="1"/>
  <c r="P33" i="9" s="1"/>
  <c r="Q64" i="7"/>
  <c r="Y71" i="9" s="1"/>
  <c r="P71" i="9" s="1"/>
  <c r="Q47" i="7"/>
  <c r="Y52" i="9" s="1"/>
  <c r="P52" i="9" s="1"/>
  <c r="H85" i="7"/>
  <c r="Q11" i="7" s="1"/>
  <c r="Y12" i="9" s="1"/>
  <c r="P12" i="9" s="1"/>
  <c r="Q28" i="7"/>
  <c r="Y31" i="9" s="1"/>
  <c r="P31" i="9" s="1"/>
  <c r="H15" i="7"/>
  <c r="Q4" i="7" s="1"/>
  <c r="Y5" i="9" s="1"/>
  <c r="P5" i="9" s="1"/>
  <c r="Q72" i="7"/>
  <c r="Y81" i="9" s="1"/>
  <c r="P81" i="9" s="1"/>
  <c r="Q55" i="7"/>
  <c r="Y62" i="9" s="1"/>
  <c r="P62" i="9" s="1"/>
  <c r="Q38" i="7"/>
  <c r="Y43" i="9" s="1"/>
  <c r="P43" i="9" s="1"/>
  <c r="Q89" i="7"/>
  <c r="Y100" i="9" s="1"/>
  <c r="P100" i="9" s="1"/>
  <c r="H125" i="7"/>
  <c r="Q15" i="7" s="1"/>
  <c r="Y16" i="9" s="1"/>
  <c r="P16" i="9" s="1"/>
  <c r="Q32" i="7"/>
  <c r="Y35" i="9" s="1"/>
  <c r="P35" i="9" s="1"/>
  <c r="Q49" i="7"/>
  <c r="Y54" i="9" s="1"/>
  <c r="P54" i="9" s="1"/>
  <c r="Q39" i="7"/>
  <c r="Y44" i="9" s="1"/>
  <c r="P44" i="9" s="1"/>
  <c r="Q56" i="7"/>
  <c r="Y63" i="9" s="1"/>
  <c r="P63" i="9" s="1"/>
  <c r="Q22" i="7"/>
  <c r="Y25" i="9" s="1"/>
  <c r="P25" i="9" s="1"/>
  <c r="Q45" i="7"/>
  <c r="Y50" i="9" s="1"/>
  <c r="P50" i="9" s="1"/>
  <c r="G50" i="7"/>
  <c r="P92" i="7" s="1"/>
  <c r="X103" i="9" s="1"/>
  <c r="O103" i="9" s="1"/>
  <c r="Q100" i="7"/>
  <c r="Y111" i="9" s="1"/>
  <c r="P111" i="9" s="1"/>
  <c r="Q73" i="7"/>
  <c r="Y82" i="9" s="1"/>
  <c r="P82" i="9" s="1"/>
  <c r="Q79" i="7"/>
  <c r="Y88" i="9" s="1"/>
  <c r="P88" i="9" s="1"/>
  <c r="Q83" i="7"/>
  <c r="Y92" i="9" s="1"/>
  <c r="P92" i="9" s="1"/>
  <c r="Q66" i="7"/>
  <c r="Y73" i="9" s="1"/>
  <c r="P73" i="9" s="1"/>
  <c r="Q90" i="7"/>
  <c r="Y101" i="9" s="1"/>
  <c r="P101" i="9" s="1"/>
  <c r="Q96" i="7"/>
  <c r="Y107" i="9" s="1"/>
  <c r="P107" i="9" s="1"/>
  <c r="L42" i="9"/>
  <c r="Q21" i="7"/>
  <c r="Y24" i="9" s="1"/>
  <c r="P24" i="9" s="1"/>
  <c r="H25" i="7"/>
  <c r="Q5" i="7" s="1"/>
  <c r="Y6" i="9" s="1"/>
  <c r="P6" i="9" s="1"/>
  <c r="Q62" i="7"/>
  <c r="Y69" i="9" s="1"/>
  <c r="P69" i="9" s="1"/>
  <c r="Q82" i="7"/>
  <c r="Y91" i="9" s="1"/>
  <c r="P91" i="9" s="1"/>
  <c r="Q31" i="7"/>
  <c r="Y34" i="9" s="1"/>
  <c r="P34" i="9" s="1"/>
  <c r="Q65" i="7"/>
  <c r="Y72" i="9" s="1"/>
  <c r="P72" i="9" s="1"/>
  <c r="Q99" i="7"/>
  <c r="Y110" i="9" s="1"/>
  <c r="P110" i="9" s="1"/>
  <c r="Q48" i="7"/>
  <c r="Y53" i="9" s="1"/>
  <c r="P53" i="9" s="1"/>
  <c r="Q78" i="7"/>
  <c r="Y87" i="9" s="1"/>
  <c r="P87" i="9" s="1"/>
  <c r="D99" i="7"/>
  <c r="M80" i="7" s="1"/>
  <c r="U89" i="9" s="1"/>
  <c r="L89" i="9" s="1"/>
  <c r="G130" i="7"/>
  <c r="P100" i="7" s="1"/>
  <c r="X111" i="9" s="1"/>
  <c r="O111" i="9" s="1"/>
  <c r="Q61" i="7"/>
  <c r="Y68" i="9" s="1"/>
  <c r="P68" i="9" s="1"/>
  <c r="D128" i="7"/>
  <c r="M66" i="7" s="1"/>
  <c r="U73" i="9" s="1"/>
  <c r="L73" i="9" s="1"/>
  <c r="G135" i="7"/>
  <c r="P16" i="7" s="1"/>
  <c r="X17" i="9" s="1"/>
  <c r="O17" i="9" s="1"/>
  <c r="F137" i="7"/>
  <c r="O50" i="7" s="1"/>
  <c r="W55" i="9" s="1"/>
  <c r="N55" i="9" s="1"/>
  <c r="D127" i="7"/>
  <c r="M49" i="7" s="1"/>
  <c r="U54" i="9" s="1"/>
  <c r="L54" i="9" s="1"/>
  <c r="D8" i="7"/>
  <c r="M54" i="7" s="1"/>
  <c r="U61" i="9" s="1"/>
  <c r="G137" i="7"/>
  <c r="P50" i="7" s="1"/>
  <c r="X55" i="9" s="1"/>
  <c r="O55" i="9" s="1"/>
  <c r="E149" i="7"/>
  <c r="N85" i="7" s="1"/>
  <c r="V94" i="9" s="1"/>
  <c r="M94" i="9" s="1"/>
  <c r="F135" i="7"/>
  <c r="O16" i="7" s="1"/>
  <c r="W17" i="9" s="1"/>
  <c r="N17" i="9" s="1"/>
  <c r="D100" i="7"/>
  <c r="M97" i="7" s="1"/>
  <c r="U108" i="9" s="1"/>
  <c r="L108" i="9" s="1"/>
  <c r="Q44" i="7"/>
  <c r="Y49" i="9" s="1"/>
  <c r="P49" i="9" s="1"/>
  <c r="D9" i="7"/>
  <c r="M71" i="7" s="1"/>
  <c r="U80" i="9" s="1"/>
  <c r="G136" i="7"/>
  <c r="P33" i="7" s="1"/>
  <c r="X36" i="9" s="1"/>
  <c r="O36" i="9" s="1"/>
  <c r="G128" i="7"/>
  <c r="P66" i="7" s="1"/>
  <c r="X73" i="9" s="1"/>
  <c r="O73" i="9" s="1"/>
  <c r="E148" i="7"/>
  <c r="N68" i="7" s="1"/>
  <c r="V75" i="9" s="1"/>
  <c r="M75" i="9" s="1"/>
  <c r="F136" i="7"/>
  <c r="O33" i="7" s="1"/>
  <c r="W36" i="9" s="1"/>
  <c r="N36" i="9" s="1"/>
  <c r="D95" i="7"/>
  <c r="M12" i="7" s="1"/>
  <c r="U13" i="9" s="1"/>
  <c r="L13" i="9" s="1"/>
  <c r="Q95" i="7"/>
  <c r="Y106" i="9" s="1"/>
  <c r="P106" i="9" s="1"/>
  <c r="F138" i="7"/>
  <c r="O67" i="7" s="1"/>
  <c r="W74" i="9" s="1"/>
  <c r="N74" i="9" s="1"/>
  <c r="F140" i="7"/>
  <c r="O101" i="7" s="1"/>
  <c r="W112" i="9" s="1"/>
  <c r="N112" i="9" s="1"/>
  <c r="D10" i="7"/>
  <c r="M88" i="7" s="1"/>
  <c r="U99" i="9" s="1"/>
  <c r="D97" i="7"/>
  <c r="M46" i="7" s="1"/>
  <c r="U51" i="9" s="1"/>
  <c r="L51" i="9" s="1"/>
  <c r="G140" i="7"/>
  <c r="P101" i="7" s="1"/>
  <c r="X112" i="9" s="1"/>
  <c r="O112" i="9" s="1"/>
  <c r="D5" i="7"/>
  <c r="M3" i="7" s="1"/>
  <c r="U4" i="9" s="1"/>
  <c r="G129" i="7"/>
  <c r="P83" i="7" s="1"/>
  <c r="X92" i="9" s="1"/>
  <c r="O92" i="9" s="1"/>
  <c r="D96" i="7"/>
  <c r="M29" i="7" s="1"/>
  <c r="U32" i="9" s="1"/>
  <c r="L32" i="9" s="1"/>
  <c r="D126" i="7"/>
  <c r="M32" i="7" s="1"/>
  <c r="U35" i="9" s="1"/>
  <c r="L35" i="9" s="1"/>
  <c r="G138" i="7"/>
  <c r="P67" i="7" s="1"/>
  <c r="X74" i="9" s="1"/>
  <c r="O74" i="9" s="1"/>
  <c r="G126" i="7"/>
  <c r="P32" i="7" s="1"/>
  <c r="X35" i="9" s="1"/>
  <c r="O35" i="9" s="1"/>
  <c r="D130" i="7"/>
  <c r="M100" i="7" s="1"/>
  <c r="U111" i="9" s="1"/>
  <c r="L111" i="9" s="1"/>
  <c r="G127" i="7"/>
  <c r="P49" i="7" s="1"/>
  <c r="X54" i="9" s="1"/>
  <c r="O54" i="9" s="1"/>
  <c r="D125" i="7"/>
  <c r="M15" i="7" s="1"/>
  <c r="U16" i="9" s="1"/>
  <c r="L16" i="9" s="1"/>
  <c r="E145" i="7"/>
  <c r="N17" i="7" s="1"/>
  <c r="V18" i="9" s="1"/>
  <c r="M18" i="9" s="1"/>
  <c r="Q27" i="7"/>
  <c r="Y30" i="9" s="1"/>
  <c r="P30" i="9" s="1"/>
  <c r="G16" i="7"/>
  <c r="P21" i="7" s="1"/>
  <c r="X24" i="9" s="1"/>
  <c r="O24" i="9" s="1"/>
  <c r="F16" i="7"/>
  <c r="O21" i="7" s="1"/>
  <c r="W24" i="9" s="1"/>
  <c r="N24" i="9" s="1"/>
  <c r="E108" i="7"/>
  <c r="N64" i="7" s="1"/>
  <c r="V71" i="9" s="1"/>
  <c r="M71" i="9" s="1"/>
  <c r="F120" i="7"/>
  <c r="O99" i="7" s="1"/>
  <c r="W110" i="9" s="1"/>
  <c r="N110" i="9" s="1"/>
  <c r="F45" i="7"/>
  <c r="O7" i="7" s="1"/>
  <c r="W8" i="9" s="1"/>
  <c r="N8" i="9" s="1"/>
  <c r="Q60" i="7"/>
  <c r="Y67" i="9" s="1"/>
  <c r="P67" i="9" s="1"/>
  <c r="F46" i="7"/>
  <c r="O24" i="7" s="1"/>
  <c r="W27" i="9" s="1"/>
  <c r="N27" i="9" s="1"/>
  <c r="Q77" i="7"/>
  <c r="Y86" i="9" s="1"/>
  <c r="P86" i="9" s="1"/>
  <c r="G117" i="7"/>
  <c r="P48" i="7" s="1"/>
  <c r="X53" i="9" s="1"/>
  <c r="O53" i="9" s="1"/>
  <c r="Q26" i="7"/>
  <c r="Y29" i="9" s="1"/>
  <c r="P29" i="9" s="1"/>
  <c r="D78" i="7"/>
  <c r="M61" i="7" s="1"/>
  <c r="U68" i="9" s="1"/>
  <c r="L68" i="9" s="1"/>
  <c r="Q94" i="7"/>
  <c r="Y105" i="9" s="1"/>
  <c r="P105" i="9" s="1"/>
  <c r="E19" i="7"/>
  <c r="N72" i="7" s="1"/>
  <c r="V81" i="9" s="1"/>
  <c r="M81" i="9" s="1"/>
  <c r="Q43" i="7"/>
  <c r="Y48" i="9" s="1"/>
  <c r="P48" i="9" s="1"/>
  <c r="Q93" i="7"/>
  <c r="Y104" i="9" s="1"/>
  <c r="P104" i="9" s="1"/>
  <c r="G115" i="7"/>
  <c r="P14" i="7" s="1"/>
  <c r="X15" i="9" s="1"/>
  <c r="O15" i="9" s="1"/>
  <c r="F145" i="7"/>
  <c r="O17" i="7" s="1"/>
  <c r="W18" i="9" s="1"/>
  <c r="N18" i="9" s="1"/>
  <c r="Q59" i="7"/>
  <c r="Y66" i="9" s="1"/>
  <c r="P66" i="9" s="1"/>
  <c r="G118" i="7"/>
  <c r="P65" i="7" s="1"/>
  <c r="X72" i="9" s="1"/>
  <c r="O72" i="9" s="1"/>
  <c r="E85" i="7"/>
  <c r="N11" i="7" s="1"/>
  <c r="V12" i="9" s="1"/>
  <c r="M12" i="9" s="1"/>
  <c r="Q76" i="7"/>
  <c r="Y85" i="9" s="1"/>
  <c r="P85" i="9" s="1"/>
  <c r="F50" i="7"/>
  <c r="O92" i="7" s="1"/>
  <c r="W103" i="9" s="1"/>
  <c r="N103" i="9" s="1"/>
  <c r="E89" i="7"/>
  <c r="N79" i="7" s="1"/>
  <c r="V88" i="9" s="1"/>
  <c r="M88" i="9" s="1"/>
  <c r="Q42" i="7"/>
  <c r="Y47" i="9" s="1"/>
  <c r="P47" i="9" s="1"/>
  <c r="E90" i="7"/>
  <c r="N96" i="7" s="1"/>
  <c r="V107" i="9" s="1"/>
  <c r="M107" i="9" s="1"/>
  <c r="F47" i="7"/>
  <c r="O41" i="7" s="1"/>
  <c r="W46" i="9" s="1"/>
  <c r="N46" i="9" s="1"/>
  <c r="F48" i="7"/>
  <c r="O58" i="7" s="1"/>
  <c r="W65" i="9" s="1"/>
  <c r="N65" i="9" s="1"/>
  <c r="G89" i="7"/>
  <c r="P79" i="7" s="1"/>
  <c r="X88" i="9" s="1"/>
  <c r="O88" i="9" s="1"/>
  <c r="E106" i="7"/>
  <c r="N30" i="7" s="1"/>
  <c r="V33" i="9" s="1"/>
  <c r="M33" i="9" s="1"/>
  <c r="G85" i="7"/>
  <c r="P11" i="7" s="1"/>
  <c r="X12" i="9" s="1"/>
  <c r="O12" i="9" s="1"/>
  <c r="E105" i="7"/>
  <c r="N13" i="7" s="1"/>
  <c r="V14" i="9" s="1"/>
  <c r="M14" i="9" s="1"/>
  <c r="Q25" i="7"/>
  <c r="Y28" i="9" s="1"/>
  <c r="P28" i="9" s="1"/>
  <c r="Q57" i="7"/>
  <c r="Y64" i="9" s="1"/>
  <c r="P64" i="9" s="1"/>
  <c r="Q74" i="7"/>
  <c r="Y83" i="9" s="1"/>
  <c r="P83" i="9" s="1"/>
  <c r="F116" i="7"/>
  <c r="O31" i="7" s="1"/>
  <c r="W34" i="9" s="1"/>
  <c r="N34" i="9" s="1"/>
  <c r="Q23" i="7"/>
  <c r="Y26" i="9" s="1"/>
  <c r="P26" i="9" s="1"/>
  <c r="Q40" i="7"/>
  <c r="Y45" i="9" s="1"/>
  <c r="P45" i="9" s="1"/>
  <c r="Q91" i="7"/>
  <c r="Y102" i="9" s="1"/>
  <c r="P102" i="9" s="1"/>
  <c r="E16" i="7"/>
  <c r="N21" i="7" s="1"/>
  <c r="V24" i="9" s="1"/>
  <c r="M24" i="9" s="1"/>
  <c r="F15" i="7"/>
  <c r="O4" i="7" s="1"/>
  <c r="W5" i="9" s="1"/>
  <c r="N5" i="9" s="1"/>
  <c r="F119" i="7"/>
  <c r="O82" i="7" s="1"/>
  <c r="W91" i="9" s="1"/>
  <c r="N91" i="9" s="1"/>
  <c r="G55" i="7"/>
  <c r="P8" i="7" s="1"/>
  <c r="X9" i="9" s="1"/>
  <c r="O9" i="9" s="1"/>
  <c r="F59" i="7"/>
  <c r="O76" i="7" s="1"/>
  <c r="W85" i="9" s="1"/>
  <c r="N85" i="9" s="1"/>
  <c r="G56" i="7"/>
  <c r="P25" i="7" s="1"/>
  <c r="X28" i="9" s="1"/>
  <c r="O28" i="9" s="1"/>
  <c r="F58" i="7"/>
  <c r="O59" i="7" s="1"/>
  <c r="W66" i="9" s="1"/>
  <c r="N66" i="9" s="1"/>
  <c r="D75" i="7"/>
  <c r="M10" i="7" s="1"/>
  <c r="U11" i="9" s="1"/>
  <c r="L11" i="9" s="1"/>
  <c r="G59" i="7"/>
  <c r="P76" i="7" s="1"/>
  <c r="X85" i="9" s="1"/>
  <c r="O85" i="9" s="1"/>
  <c r="E15" i="7"/>
  <c r="N4" i="7" s="1"/>
  <c r="V5" i="9" s="1"/>
  <c r="M5" i="9" s="1"/>
  <c r="G18" i="7"/>
  <c r="P55" i="7" s="1"/>
  <c r="X62" i="9" s="1"/>
  <c r="O62" i="9" s="1"/>
  <c r="F60" i="7"/>
  <c r="O93" i="7" s="1"/>
  <c r="W104" i="9" s="1"/>
  <c r="N104" i="9" s="1"/>
  <c r="F17" i="7"/>
  <c r="O38" i="7" s="1"/>
  <c r="W43" i="9" s="1"/>
  <c r="N43" i="9" s="1"/>
  <c r="D77" i="7"/>
  <c r="M44" i="7" s="1"/>
  <c r="U49" i="9" s="1"/>
  <c r="L49" i="9" s="1"/>
  <c r="G60" i="7"/>
  <c r="P93" i="7" s="1"/>
  <c r="X104" i="9" s="1"/>
  <c r="O104" i="9" s="1"/>
  <c r="E20" i="7"/>
  <c r="N89" i="7" s="1"/>
  <c r="V100" i="9" s="1"/>
  <c r="M100" i="9" s="1"/>
  <c r="G19" i="7"/>
  <c r="P72" i="7" s="1"/>
  <c r="X81" i="9" s="1"/>
  <c r="O81" i="9" s="1"/>
  <c r="F18" i="7"/>
  <c r="O55" i="7" s="1"/>
  <c r="W62" i="9" s="1"/>
  <c r="N62" i="9" s="1"/>
  <c r="D79" i="7"/>
  <c r="M78" i="7" s="1"/>
  <c r="U87" i="9" s="1"/>
  <c r="L87" i="9" s="1"/>
  <c r="E17" i="7"/>
  <c r="N38" i="7" s="1"/>
  <c r="V43" i="9" s="1"/>
  <c r="M43" i="9" s="1"/>
  <c r="G15" i="7"/>
  <c r="P4" i="7" s="1"/>
  <c r="X5" i="9" s="1"/>
  <c r="O5" i="9" s="1"/>
  <c r="F19" i="7"/>
  <c r="O72" i="7" s="1"/>
  <c r="W81" i="9" s="1"/>
  <c r="N81" i="9" s="1"/>
  <c r="D76" i="7"/>
  <c r="M27" i="7" s="1"/>
  <c r="U30" i="9" s="1"/>
  <c r="L30" i="9" s="1"/>
  <c r="Q54" i="7"/>
  <c r="Y61" i="9" s="1"/>
  <c r="P61" i="9" s="1"/>
  <c r="G17" i="7"/>
  <c r="P38" i="7" s="1"/>
  <c r="X43" i="9" s="1"/>
  <c r="O43" i="9" s="1"/>
  <c r="F56" i="7"/>
  <c r="O25" i="7" s="1"/>
  <c r="W28" i="9" s="1"/>
  <c r="N28" i="9" s="1"/>
  <c r="Q37" i="7"/>
  <c r="Y42" i="9" s="1"/>
  <c r="P42" i="9" s="1"/>
  <c r="F55" i="7"/>
  <c r="O8" i="7" s="1"/>
  <c r="W9" i="9" s="1"/>
  <c r="N9" i="9" s="1"/>
  <c r="G57" i="7"/>
  <c r="P42" i="7" s="1"/>
  <c r="X47" i="9" s="1"/>
  <c r="O47" i="9" s="1"/>
  <c r="Q88" i="7"/>
  <c r="Y99" i="9" s="1"/>
  <c r="P99" i="9" s="1"/>
  <c r="Q71" i="7"/>
  <c r="Y80" i="9" s="1"/>
  <c r="P80" i="9" s="1"/>
  <c r="Q20" i="7"/>
  <c r="Y23" i="9" s="1"/>
  <c r="P23" i="9" s="1"/>
  <c r="Q51" i="7"/>
  <c r="Y56" i="9" s="1"/>
  <c r="P56" i="9" s="1"/>
  <c r="Q68" i="7"/>
  <c r="Y75" i="9" s="1"/>
  <c r="P75" i="9" s="1"/>
  <c r="Q34" i="7"/>
  <c r="Y37" i="9" s="1"/>
  <c r="P37" i="9" s="1"/>
  <c r="Q85" i="7"/>
  <c r="Y94" i="9" s="1"/>
  <c r="P94" i="9" s="1"/>
  <c r="Q102" i="7"/>
  <c r="Y113" i="9" s="1"/>
  <c r="P113" i="9" s="1"/>
  <c r="F70" i="7"/>
  <c r="O94" i="7" s="1"/>
  <c r="W105" i="9" s="1"/>
  <c r="N105" i="9" s="1"/>
  <c r="F65" i="7"/>
  <c r="O9" i="7" s="1"/>
  <c r="F66" i="7"/>
  <c r="O26" i="7" s="1"/>
  <c r="W29" i="9" s="1"/>
  <c r="N29" i="9" s="1"/>
  <c r="F69" i="7"/>
  <c r="O77" i="7" s="1"/>
  <c r="W86" i="9" s="1"/>
  <c r="N86" i="9" s="1"/>
  <c r="F67" i="7"/>
  <c r="O43" i="7" s="1"/>
  <c r="W48" i="9" s="1"/>
  <c r="N48" i="9" s="1"/>
  <c r="G147" i="7"/>
  <c r="P51" i="7" s="1"/>
  <c r="X56" i="9" s="1"/>
  <c r="O56" i="9" s="1"/>
  <c r="F87" i="7"/>
  <c r="O45" i="7" s="1"/>
  <c r="W50" i="9" s="1"/>
  <c r="N50" i="9" s="1"/>
  <c r="F86" i="7"/>
  <c r="O28" i="7" s="1"/>
  <c r="W31" i="9" s="1"/>
  <c r="N31" i="9" s="1"/>
  <c r="F7" i="7"/>
  <c r="O37" i="7" s="1"/>
  <c r="W42" i="9" s="1"/>
  <c r="N42" i="9" s="1"/>
  <c r="G149" i="7"/>
  <c r="P85" i="7" s="1"/>
  <c r="X94" i="9" s="1"/>
  <c r="O94" i="9" s="1"/>
  <c r="G145" i="7"/>
  <c r="P17" i="7" s="1"/>
  <c r="X18" i="9" s="1"/>
  <c r="O18" i="9" s="1"/>
  <c r="G150" i="7"/>
  <c r="P102" i="7" s="1"/>
  <c r="X113" i="9" s="1"/>
  <c r="O113" i="9" s="1"/>
  <c r="D147" i="7"/>
  <c r="M51" i="7" s="1"/>
  <c r="U56" i="9" s="1"/>
  <c r="L56" i="9" s="1"/>
  <c r="D85" i="7"/>
  <c r="M11" i="7" s="1"/>
  <c r="U12" i="9" s="1"/>
  <c r="L12" i="9" s="1"/>
  <c r="G148" i="7"/>
  <c r="P68" i="7" s="1"/>
  <c r="X75" i="9" s="1"/>
  <c r="O75" i="9" s="1"/>
  <c r="D90" i="7"/>
  <c r="M96" i="7" s="1"/>
  <c r="U107" i="9" s="1"/>
  <c r="L107" i="9" s="1"/>
  <c r="G80" i="7"/>
  <c r="P95" i="7" s="1"/>
  <c r="X106" i="9" s="1"/>
  <c r="O106" i="9" s="1"/>
  <c r="F105" i="7"/>
  <c r="O13" i="7" s="1"/>
  <c r="W14" i="9" s="1"/>
  <c r="N14" i="9" s="1"/>
  <c r="F109" i="7"/>
  <c r="O81" i="7" s="1"/>
  <c r="W90" i="9" s="1"/>
  <c r="N90" i="9" s="1"/>
  <c r="E40" i="7"/>
  <c r="N91" i="7" s="1"/>
  <c r="V102" i="9" s="1"/>
  <c r="M102" i="9" s="1"/>
  <c r="E38" i="7"/>
  <c r="N57" i="7" s="1"/>
  <c r="V64" i="9" s="1"/>
  <c r="M64" i="9" s="1"/>
  <c r="D86" i="7"/>
  <c r="M28" i="7" s="1"/>
  <c r="U31" i="9" s="1"/>
  <c r="L31" i="9" s="1"/>
  <c r="E55" i="7"/>
  <c r="N8" i="7" s="1"/>
  <c r="V9" i="9" s="1"/>
  <c r="M9" i="9" s="1"/>
  <c r="G87" i="7"/>
  <c r="P45" i="7" s="1"/>
  <c r="X50" i="9" s="1"/>
  <c r="O50" i="9" s="1"/>
  <c r="G119" i="7"/>
  <c r="P82" i="7" s="1"/>
  <c r="X91" i="9" s="1"/>
  <c r="O91" i="9" s="1"/>
  <c r="E107" i="7"/>
  <c r="N47" i="7" s="1"/>
  <c r="V52" i="9" s="1"/>
  <c r="M52" i="9" s="1"/>
  <c r="E86" i="7"/>
  <c r="N28" i="7" s="1"/>
  <c r="V31" i="9" s="1"/>
  <c r="M31" i="9" s="1"/>
  <c r="D88" i="7"/>
  <c r="M62" i="7" s="1"/>
  <c r="U69" i="9" s="1"/>
  <c r="L69" i="9" s="1"/>
  <c r="F148" i="7"/>
  <c r="O68" i="7" s="1"/>
  <c r="W75" i="9" s="1"/>
  <c r="N75" i="9" s="1"/>
  <c r="F26" i="7"/>
  <c r="O22" i="7" s="1"/>
  <c r="W25" i="9" s="1"/>
  <c r="N25" i="9" s="1"/>
  <c r="G97" i="7"/>
  <c r="P46" i="7" s="1"/>
  <c r="X51" i="9" s="1"/>
  <c r="O51" i="9" s="1"/>
  <c r="F106" i="7"/>
  <c r="O30" i="7" s="1"/>
  <c r="W33" i="9" s="1"/>
  <c r="N33" i="9" s="1"/>
  <c r="F118" i="7"/>
  <c r="O65" i="7" s="1"/>
  <c r="W72" i="9" s="1"/>
  <c r="N72" i="9" s="1"/>
  <c r="G90" i="7"/>
  <c r="P96" i="7" s="1"/>
  <c r="X107" i="9" s="1"/>
  <c r="O107" i="9" s="1"/>
  <c r="G116" i="7"/>
  <c r="P31" i="7" s="1"/>
  <c r="X34" i="9" s="1"/>
  <c r="O34" i="9" s="1"/>
  <c r="E110" i="7"/>
  <c r="N98" i="7" s="1"/>
  <c r="V109" i="9" s="1"/>
  <c r="M109" i="9" s="1"/>
  <c r="E87" i="7"/>
  <c r="N45" i="7" s="1"/>
  <c r="V50" i="9" s="1"/>
  <c r="M50" i="9" s="1"/>
  <c r="D89" i="7"/>
  <c r="M79" i="7" s="1"/>
  <c r="U88" i="9" s="1"/>
  <c r="L88" i="9" s="1"/>
  <c r="F149" i="7"/>
  <c r="O85" i="7" s="1"/>
  <c r="W94" i="9" s="1"/>
  <c r="N94" i="9" s="1"/>
  <c r="F29" i="7"/>
  <c r="O73" i="7" s="1"/>
  <c r="W82" i="9" s="1"/>
  <c r="N82" i="9" s="1"/>
  <c r="F115" i="7"/>
  <c r="O14" i="7" s="1"/>
  <c r="G88" i="7"/>
  <c r="P62" i="7" s="1"/>
  <c r="X69" i="9" s="1"/>
  <c r="O69" i="9" s="1"/>
  <c r="F8" i="7"/>
  <c r="O54" i="7" s="1"/>
  <c r="W61" i="9" s="1"/>
  <c r="N61" i="9" s="1"/>
  <c r="F146" i="7"/>
  <c r="O34" i="7" s="1"/>
  <c r="W37" i="9" s="1"/>
  <c r="N37" i="9" s="1"/>
  <c r="F38" i="7"/>
  <c r="O57" i="7" s="1"/>
  <c r="W64" i="9" s="1"/>
  <c r="N64" i="9" s="1"/>
  <c r="F5" i="7"/>
  <c r="O3" i="7" s="1"/>
  <c r="W4" i="9" s="1"/>
  <c r="N4" i="9" s="1"/>
  <c r="F89" i="7"/>
  <c r="O79" i="7" s="1"/>
  <c r="W88" i="9" s="1"/>
  <c r="N88" i="9" s="1"/>
  <c r="E67" i="7"/>
  <c r="N43" i="7" s="1"/>
  <c r="V48" i="9" s="1"/>
  <c r="M48" i="9" s="1"/>
  <c r="E66" i="7"/>
  <c r="N26" i="7" s="1"/>
  <c r="V29" i="9" s="1"/>
  <c r="M29" i="9" s="1"/>
  <c r="G10" i="7"/>
  <c r="P88" i="7" s="1"/>
  <c r="X99" i="9" s="1"/>
  <c r="O99" i="9" s="1"/>
  <c r="D45" i="7"/>
  <c r="M7" i="7" s="1"/>
  <c r="U8" i="9" s="1"/>
  <c r="L8" i="9" s="1"/>
  <c r="G5" i="7"/>
  <c r="P3" i="7" s="1"/>
  <c r="X4" i="9" s="1"/>
  <c r="O4" i="9" s="1"/>
  <c r="I135" i="7" a="1"/>
  <c r="I136" i="7" s="1"/>
  <c r="R33" i="7" s="1"/>
  <c r="D46" i="7"/>
  <c r="M24" i="7" s="1"/>
  <c r="U27" i="9" s="1"/>
  <c r="L27" i="9" s="1"/>
  <c r="G6" i="7"/>
  <c r="P20" i="7" s="1"/>
  <c r="X23" i="9" s="1"/>
  <c r="O23" i="9" s="1"/>
  <c r="D25" i="7"/>
  <c r="M5" i="7" s="1"/>
  <c r="U6" i="9" s="1"/>
  <c r="L6" i="9" s="1"/>
  <c r="D50" i="7"/>
  <c r="M92" i="7" s="1"/>
  <c r="U103" i="9" s="1"/>
  <c r="L103" i="9" s="1"/>
  <c r="E129" i="7"/>
  <c r="N83" i="7" s="1"/>
  <c r="V92" i="9" s="1"/>
  <c r="M92" i="9" s="1"/>
  <c r="E69" i="7"/>
  <c r="N77" i="7" s="1"/>
  <c r="V86" i="9" s="1"/>
  <c r="M86" i="9" s="1"/>
  <c r="F6" i="7"/>
  <c r="O20" i="7" s="1"/>
  <c r="W23" i="9" s="1"/>
  <c r="N23" i="9" s="1"/>
  <c r="F35" i="7"/>
  <c r="O6" i="7" s="1"/>
  <c r="W7" i="9" s="1"/>
  <c r="N7" i="9" s="1"/>
  <c r="F85" i="7"/>
  <c r="O11" i="7" s="1"/>
  <c r="W12" i="9" s="1"/>
  <c r="N12" i="9" s="1"/>
  <c r="G7" i="7"/>
  <c r="P37" i="7" s="1"/>
  <c r="X42" i="9" s="1"/>
  <c r="O42" i="9" s="1"/>
  <c r="D26" i="7"/>
  <c r="M22" i="7" s="1"/>
  <c r="U25" i="9" s="1"/>
  <c r="L25" i="9" s="1"/>
  <c r="D48" i="7"/>
  <c r="M58" i="7" s="1"/>
  <c r="U65" i="9" s="1"/>
  <c r="L65" i="9" s="1"/>
  <c r="F110" i="7"/>
  <c r="O98" i="7" s="1"/>
  <c r="W109" i="9" s="1"/>
  <c r="N109" i="9" s="1"/>
  <c r="E125" i="7"/>
  <c r="N15" i="7" s="1"/>
  <c r="V16" i="9" s="1"/>
  <c r="M16" i="9" s="1"/>
  <c r="E130" i="7"/>
  <c r="N100" i="7" s="1"/>
  <c r="V111" i="9" s="1"/>
  <c r="M111" i="9" s="1"/>
  <c r="F36" i="7"/>
  <c r="O23" i="7" s="1"/>
  <c r="W26" i="9" s="1"/>
  <c r="N26" i="9" s="1"/>
  <c r="F88" i="7"/>
  <c r="O62" i="7" s="1"/>
  <c r="W69" i="9" s="1"/>
  <c r="N69" i="9" s="1"/>
  <c r="F28" i="7"/>
  <c r="O56" i="7" s="1"/>
  <c r="W63" i="9" s="1"/>
  <c r="N63" i="9" s="1"/>
  <c r="D29" i="7"/>
  <c r="M73" i="7" s="1"/>
  <c r="U82" i="9" s="1"/>
  <c r="L82" i="9" s="1"/>
  <c r="E36" i="7"/>
  <c r="N23" i="7" s="1"/>
  <c r="V26" i="9" s="1"/>
  <c r="M26" i="9" s="1"/>
  <c r="D49" i="7"/>
  <c r="M75" i="7" s="1"/>
  <c r="U84" i="9" s="1"/>
  <c r="L84" i="9" s="1"/>
  <c r="E68" i="7"/>
  <c r="N60" i="7" s="1"/>
  <c r="V67" i="9" s="1"/>
  <c r="M67" i="9" s="1"/>
  <c r="E127" i="7"/>
  <c r="N49" i="7" s="1"/>
  <c r="V54" i="9" s="1"/>
  <c r="M54" i="9" s="1"/>
  <c r="F39" i="7"/>
  <c r="O74" i="7" s="1"/>
  <c r="W83" i="9" s="1"/>
  <c r="N83" i="9" s="1"/>
  <c r="F30" i="7"/>
  <c r="O90" i="7" s="1"/>
  <c r="W101" i="9" s="1"/>
  <c r="N101" i="9" s="1"/>
  <c r="D30" i="7"/>
  <c r="M90" i="7" s="1"/>
  <c r="U101" i="9" s="1"/>
  <c r="L101" i="9" s="1"/>
  <c r="E37" i="7"/>
  <c r="N40" i="7" s="1"/>
  <c r="V45" i="9" s="1"/>
  <c r="M45" i="9" s="1"/>
  <c r="E128" i="7"/>
  <c r="N66" i="7" s="1"/>
  <c r="V73" i="9" s="1"/>
  <c r="M73" i="9" s="1"/>
  <c r="E70" i="7"/>
  <c r="N94" i="7" s="1"/>
  <c r="V105" i="9" s="1"/>
  <c r="M105" i="9" s="1"/>
  <c r="F9" i="7"/>
  <c r="O71" i="7" s="1"/>
  <c r="W80" i="9" s="1"/>
  <c r="N80" i="9" s="1"/>
  <c r="F37" i="7"/>
  <c r="O40" i="7" s="1"/>
  <c r="W45" i="9" s="1"/>
  <c r="N45" i="9" s="1"/>
  <c r="G8" i="7"/>
  <c r="P54" i="7" s="1"/>
  <c r="X61" i="9" s="1"/>
  <c r="O61" i="9" s="1"/>
  <c r="F25" i="7"/>
  <c r="O5" i="7" s="1"/>
  <c r="W6" i="9" s="1"/>
  <c r="N6" i="9" s="1"/>
  <c r="D28" i="7"/>
  <c r="M56" i="7" s="1"/>
  <c r="U63" i="9" s="1"/>
  <c r="L63" i="9" s="1"/>
  <c r="E35" i="7"/>
  <c r="N6" i="7" s="1"/>
  <c r="V7" i="9" s="1"/>
  <c r="M7" i="9" s="1"/>
  <c r="F108" i="7"/>
  <c r="O64" i="7" s="1"/>
  <c r="W71" i="9" s="1"/>
  <c r="N71" i="9" s="1"/>
  <c r="G25" i="7"/>
  <c r="P5" i="7" s="1"/>
  <c r="X6" i="9" s="1"/>
  <c r="O6" i="9" s="1"/>
  <c r="G36" i="7"/>
  <c r="P23" i="7" s="1"/>
  <c r="X26" i="9" s="1"/>
  <c r="O26" i="9" s="1"/>
  <c r="I115" i="7" a="1"/>
  <c r="I115" i="7" s="1"/>
  <c r="R14" i="7" s="1"/>
  <c r="G100" i="7"/>
  <c r="P97" i="7" s="1"/>
  <c r="X108" i="9" s="1"/>
  <c r="O108" i="9" s="1"/>
  <c r="E56" i="7"/>
  <c r="N25" i="7" s="1"/>
  <c r="V28" i="9" s="1"/>
  <c r="M28" i="9" s="1"/>
  <c r="E29" i="7"/>
  <c r="N73" i="7" s="1"/>
  <c r="V82" i="9" s="1"/>
  <c r="M82" i="9" s="1"/>
  <c r="D149" i="7"/>
  <c r="M85" i="7" s="1"/>
  <c r="U94" i="9" s="1"/>
  <c r="L94" i="9" s="1"/>
  <c r="D146" i="7"/>
  <c r="M34" i="7" s="1"/>
  <c r="U37" i="9" s="1"/>
  <c r="L37" i="9" s="1"/>
  <c r="D145" i="7"/>
  <c r="M17" i="7" s="1"/>
  <c r="U18" i="9" s="1"/>
  <c r="L18" i="9" s="1"/>
  <c r="E30" i="7"/>
  <c r="N90" i="7" s="1"/>
  <c r="V101" i="9" s="1"/>
  <c r="M101" i="9" s="1"/>
  <c r="D148" i="7"/>
  <c r="M68" i="7" s="1"/>
  <c r="U75" i="9" s="1"/>
  <c r="L75" i="9" s="1"/>
  <c r="I25" i="7" a="1"/>
  <c r="I29" i="7" s="1"/>
  <c r="R73" i="7" s="1"/>
  <c r="G27" i="7"/>
  <c r="P39" i="7" s="1"/>
  <c r="X44" i="9" s="1"/>
  <c r="O44" i="9" s="1"/>
  <c r="G37" i="7"/>
  <c r="P40" i="7" s="1"/>
  <c r="X45" i="9" s="1"/>
  <c r="O45" i="9" s="1"/>
  <c r="I145" i="7" a="1"/>
  <c r="I147" i="7" s="1"/>
  <c r="R51" i="7" s="1"/>
  <c r="G29" i="7"/>
  <c r="P73" i="7" s="1"/>
  <c r="X82" i="9" s="1"/>
  <c r="O82" i="9" s="1"/>
  <c r="G38" i="7"/>
  <c r="P57" i="7" s="1"/>
  <c r="X64" i="9" s="1"/>
  <c r="O64" i="9" s="1"/>
  <c r="G30" i="7"/>
  <c r="P90" i="7" s="1"/>
  <c r="X101" i="9" s="1"/>
  <c r="O101" i="9" s="1"/>
  <c r="G40" i="7"/>
  <c r="P91" i="7" s="1"/>
  <c r="X102" i="9" s="1"/>
  <c r="O102" i="9" s="1"/>
  <c r="G28" i="7"/>
  <c r="P56" i="7" s="1"/>
  <c r="X63" i="9" s="1"/>
  <c r="O63" i="9" s="1"/>
  <c r="G39" i="7"/>
  <c r="P74" i="7" s="1"/>
  <c r="X83" i="9" s="1"/>
  <c r="O83" i="9" s="1"/>
  <c r="G78" i="7"/>
  <c r="P61" i="7" s="1"/>
  <c r="X68" i="9" s="1"/>
  <c r="O68" i="9" s="1"/>
  <c r="D139" i="7"/>
  <c r="M84" i="7" s="1"/>
  <c r="U93" i="9" s="1"/>
  <c r="L93" i="9" s="1"/>
  <c r="D109" i="7"/>
  <c r="M81" i="7" s="1"/>
  <c r="U90" i="9" s="1"/>
  <c r="L90" i="9" s="1"/>
  <c r="E136" i="7"/>
  <c r="N33" i="7" s="1"/>
  <c r="V36" i="9" s="1"/>
  <c r="M36" i="9" s="1"/>
  <c r="G79" i="7"/>
  <c r="P78" i="7" s="1"/>
  <c r="X87" i="9" s="1"/>
  <c r="O87" i="9" s="1"/>
  <c r="G76" i="7"/>
  <c r="P27" i="7" s="1"/>
  <c r="X30" i="9" s="1"/>
  <c r="O30" i="9" s="1"/>
  <c r="I75" i="7" a="1"/>
  <c r="I79" i="7" s="1"/>
  <c r="R78" i="7" s="1"/>
  <c r="G77" i="7"/>
  <c r="P44" i="7" s="1"/>
  <c r="X49" i="9" s="1"/>
  <c r="O49" i="9" s="1"/>
  <c r="I95" i="7" a="1"/>
  <c r="I98" i="7" s="1"/>
  <c r="R63" i="7" s="1"/>
  <c r="I45" i="7" a="1"/>
  <c r="I46" i="7" s="1"/>
  <c r="R24" i="7" s="1"/>
  <c r="E140" i="7"/>
  <c r="N101" i="7" s="1"/>
  <c r="V112" i="9" s="1"/>
  <c r="M112" i="9" s="1"/>
  <c r="D110" i="7"/>
  <c r="M98" i="7" s="1"/>
  <c r="U109" i="9" s="1"/>
  <c r="L109" i="9" s="1"/>
  <c r="I65" i="7" a="1"/>
  <c r="I65" i="7" s="1"/>
  <c r="R9" i="7" s="1"/>
  <c r="E27" i="7"/>
  <c r="N39" i="7" s="1"/>
  <c r="V44" i="9" s="1"/>
  <c r="M44" i="9" s="1"/>
  <c r="D138" i="7"/>
  <c r="M67" i="7" s="1"/>
  <c r="U74" i="9" s="1"/>
  <c r="L74" i="9" s="1"/>
  <c r="E75" i="7"/>
  <c r="N10" i="7" s="1"/>
  <c r="V11" i="9" s="1"/>
  <c r="M11" i="9" s="1"/>
  <c r="E137" i="7"/>
  <c r="N50" i="7" s="1"/>
  <c r="V55" i="9" s="1"/>
  <c r="M55" i="9" s="1"/>
  <c r="I15" i="7" a="1"/>
  <c r="I20" i="7" s="1"/>
  <c r="R89" i="7" s="1"/>
  <c r="I85" i="7" a="1"/>
  <c r="I88" i="7" s="1"/>
  <c r="R62" i="7" s="1"/>
  <c r="E57" i="7"/>
  <c r="N42" i="7" s="1"/>
  <c r="V47" i="9" s="1"/>
  <c r="M47" i="9" s="1"/>
  <c r="D107" i="7"/>
  <c r="M47" i="7" s="1"/>
  <c r="U52" i="9" s="1"/>
  <c r="L52" i="9" s="1"/>
  <c r="I105" i="7" a="1"/>
  <c r="I110" i="7" s="1"/>
  <c r="R98" i="7" s="1"/>
  <c r="E26" i="7"/>
  <c r="N22" i="7" s="1"/>
  <c r="V25" i="9" s="1"/>
  <c r="M25" i="9" s="1"/>
  <c r="D137" i="7"/>
  <c r="M50" i="7" s="1"/>
  <c r="U55" i="9" s="1"/>
  <c r="L55" i="9" s="1"/>
  <c r="E76" i="7"/>
  <c r="N27" i="7" s="1"/>
  <c r="V30" i="9" s="1"/>
  <c r="M30" i="9" s="1"/>
  <c r="E135" i="7"/>
  <c r="N16" i="7" s="1"/>
  <c r="E60" i="7"/>
  <c r="N93" i="7" s="1"/>
  <c r="V104" i="9" s="1"/>
  <c r="M104" i="9" s="1"/>
  <c r="D106" i="7"/>
  <c r="M30" i="7" s="1"/>
  <c r="U33" i="9" s="1"/>
  <c r="L33" i="9" s="1"/>
  <c r="E80" i="7"/>
  <c r="N95" i="7" s="1"/>
  <c r="V106" i="9" s="1"/>
  <c r="M106" i="9" s="1"/>
  <c r="E139" i="7"/>
  <c r="N84" i="7" s="1"/>
  <c r="V93" i="9" s="1"/>
  <c r="M93" i="9" s="1"/>
  <c r="G98" i="7"/>
  <c r="P63" i="7" s="1"/>
  <c r="X70" i="9" s="1"/>
  <c r="O70" i="9" s="1"/>
  <c r="E59" i="7"/>
  <c r="N76" i="7" s="1"/>
  <c r="V85" i="9" s="1"/>
  <c r="M85" i="9" s="1"/>
  <c r="I125" i="7" a="1"/>
  <c r="I128" i="7" s="1"/>
  <c r="R66" i="7" s="1"/>
  <c r="E25" i="7"/>
  <c r="N5" i="7" s="1"/>
  <c r="V6" i="9" s="1"/>
  <c r="M6" i="9" s="1"/>
  <c r="G96" i="7"/>
  <c r="P29" i="7" s="1"/>
  <c r="X32" i="9" s="1"/>
  <c r="O32" i="9" s="1"/>
  <c r="E78" i="7"/>
  <c r="N61" i="7" s="1"/>
  <c r="V68" i="9" s="1"/>
  <c r="M68" i="9" s="1"/>
  <c r="I5" i="7" a="1"/>
  <c r="I10" i="7" s="1"/>
  <c r="R88" i="7" s="1"/>
  <c r="D140" i="7"/>
  <c r="M101" i="7" s="1"/>
  <c r="U112" i="9" s="1"/>
  <c r="L112" i="9" s="1"/>
  <c r="E79" i="7"/>
  <c r="N78" i="7" s="1"/>
  <c r="V87" i="9" s="1"/>
  <c r="M87" i="9" s="1"/>
  <c r="G95" i="7"/>
  <c r="P12" i="7" s="1"/>
  <c r="I55" i="7" a="1"/>
  <c r="I60" i="7" s="1"/>
  <c r="R93" i="7" s="1"/>
  <c r="I35" i="7" a="1"/>
  <c r="I40" i="7" s="1"/>
  <c r="R91" i="7" s="1"/>
  <c r="D105" i="7"/>
  <c r="M13" i="7" s="1"/>
  <c r="U14" i="9" s="1"/>
  <c r="L14" i="9" s="1"/>
  <c r="D136" i="7"/>
  <c r="M33" i="7" s="1"/>
  <c r="U36" i="9" s="1"/>
  <c r="L36" i="9" s="1"/>
  <c r="G10" i="1"/>
  <c r="G6" i="1"/>
  <c r="B1" i="5" s="1"/>
  <c r="G11" i="1"/>
  <c r="G7" i="1"/>
  <c r="L7" i="1"/>
  <c r="K7" i="1"/>
  <c r="J7" i="1"/>
  <c r="I7" i="1"/>
  <c r="H7" i="1"/>
  <c r="L6" i="1"/>
  <c r="G1" i="5" s="1"/>
  <c r="K6" i="1"/>
  <c r="F1" i="5" s="1"/>
  <c r="J6" i="1"/>
  <c r="E1" i="5" s="1"/>
  <c r="I6" i="1"/>
  <c r="D1" i="5" s="1"/>
  <c r="H6" i="1"/>
  <c r="C1" i="5" s="1"/>
  <c r="Q76" i="9" l="1"/>
  <c r="G9" i="10" s="1"/>
  <c r="R89" i="9"/>
  <c r="R67" i="9"/>
  <c r="R92" i="9"/>
  <c r="R27" i="9"/>
  <c r="R109" i="9"/>
  <c r="R93" i="9"/>
  <c r="R54" i="9"/>
  <c r="R112" i="9"/>
  <c r="R106" i="9"/>
  <c r="R35" i="9"/>
  <c r="R73" i="9"/>
  <c r="R111" i="9"/>
  <c r="P19" i="9"/>
  <c r="F6" i="10" s="1"/>
  <c r="R110" i="9"/>
  <c r="R34" i="9"/>
  <c r="R104" i="9"/>
  <c r="R71" i="9"/>
  <c r="R70" i="9"/>
  <c r="R90" i="9"/>
  <c r="R29" i="9"/>
  <c r="R32" i="9"/>
  <c r="R108" i="9"/>
  <c r="R50" i="9"/>
  <c r="R51" i="9"/>
  <c r="R31" i="9"/>
  <c r="R105" i="9"/>
  <c r="R66" i="9"/>
  <c r="R87" i="9"/>
  <c r="R68" i="9"/>
  <c r="R47" i="9"/>
  <c r="R100" i="9"/>
  <c r="R65" i="9"/>
  <c r="R30" i="9"/>
  <c r="R48" i="9"/>
  <c r="R49" i="9"/>
  <c r="R86" i="9"/>
  <c r="R103" i="9"/>
  <c r="R28" i="9"/>
  <c r="R46" i="9"/>
  <c r="R85" i="9"/>
  <c r="R102" i="9"/>
  <c r="R62" i="9"/>
  <c r="R84" i="9"/>
  <c r="R64" i="9"/>
  <c r="R45" i="9"/>
  <c r="R26" i="9"/>
  <c r="N114" i="9"/>
  <c r="D11" i="10" s="1"/>
  <c r="M57" i="9"/>
  <c r="C8" i="10" s="1"/>
  <c r="R83" i="9"/>
  <c r="M76" i="9"/>
  <c r="C9" i="10" s="1"/>
  <c r="R44" i="9"/>
  <c r="O95" i="9"/>
  <c r="E10" i="10" s="1"/>
  <c r="M38" i="9"/>
  <c r="C7" i="10" s="1"/>
  <c r="R63" i="9"/>
  <c r="R101" i="9"/>
  <c r="O38" i="9"/>
  <c r="E7" i="10" s="1"/>
  <c r="O57" i="9"/>
  <c r="E8" i="10" s="1"/>
  <c r="O76" i="9"/>
  <c r="E9" i="10" s="1"/>
  <c r="R43" i="9"/>
  <c r="O114" i="9"/>
  <c r="E11" i="10" s="1"/>
  <c r="M114" i="9"/>
  <c r="C11" i="10" s="1"/>
  <c r="R24" i="9"/>
  <c r="N57" i="9"/>
  <c r="D8" i="10" s="1"/>
  <c r="M95" i="9"/>
  <c r="C10" i="10" s="1"/>
  <c r="R81" i="9"/>
  <c r="N95" i="9"/>
  <c r="D10" i="10" s="1"/>
  <c r="N76" i="9"/>
  <c r="D9" i="10" s="1"/>
  <c r="R56" i="9"/>
  <c r="R113" i="9"/>
  <c r="R37" i="9"/>
  <c r="R75" i="9"/>
  <c r="R72" i="9"/>
  <c r="R53" i="9"/>
  <c r="R91" i="9"/>
  <c r="I140" i="7"/>
  <c r="R101" i="7" s="1"/>
  <c r="A1" i="4"/>
  <c r="A1" i="9" s="1"/>
  <c r="A1" i="6"/>
  <c r="R82" i="9"/>
  <c r="R107" i="9"/>
  <c r="R25" i="9"/>
  <c r="P95" i="9"/>
  <c r="F10" i="10" s="1"/>
  <c r="R69" i="9"/>
  <c r="R52" i="9"/>
  <c r="L4" i="9"/>
  <c r="R4" i="9" s="1"/>
  <c r="R36" i="9"/>
  <c r="W15" i="9"/>
  <c r="N15" i="9" s="1"/>
  <c r="R15" i="9" s="1"/>
  <c r="P57" i="9"/>
  <c r="F8" i="10" s="1"/>
  <c r="R33" i="9"/>
  <c r="R23" i="9"/>
  <c r="L38" i="9"/>
  <c r="B7" i="10" s="1"/>
  <c r="W10" i="9"/>
  <c r="N10" i="9" s="1"/>
  <c r="R10" i="9" s="1"/>
  <c r="V17" i="9"/>
  <c r="M17" i="9" s="1"/>
  <c r="M19" i="9" s="1"/>
  <c r="C6" i="10" s="1"/>
  <c r="P114" i="9"/>
  <c r="F11" i="10" s="1"/>
  <c r="R88" i="9"/>
  <c r="K77" i="9"/>
  <c r="L61" i="9"/>
  <c r="K39" i="9"/>
  <c r="R94" i="9"/>
  <c r="K115" i="9"/>
  <c r="L99" i="9"/>
  <c r="L80" i="9"/>
  <c r="K96" i="9"/>
  <c r="R55" i="9"/>
  <c r="X13" i="9"/>
  <c r="O13" i="9" s="1"/>
  <c r="O19" i="9" s="1"/>
  <c r="E6" i="10" s="1"/>
  <c r="P76" i="9"/>
  <c r="F9" i="10" s="1"/>
  <c r="R74" i="9"/>
  <c r="N38" i="9"/>
  <c r="D7" i="10" s="1"/>
  <c r="K58" i="9"/>
  <c r="P38" i="9"/>
  <c r="F7" i="10" s="1"/>
  <c r="L57" i="9"/>
  <c r="B8" i="10" s="1"/>
  <c r="R42" i="9"/>
  <c r="R16" i="9"/>
  <c r="R14" i="9"/>
  <c r="R8" i="9"/>
  <c r="R12" i="9"/>
  <c r="R7" i="9"/>
  <c r="R9" i="9"/>
  <c r="R11" i="9"/>
  <c r="R5" i="9"/>
  <c r="R6" i="9"/>
  <c r="I120" i="7"/>
  <c r="R99" i="7" s="1"/>
  <c r="R18" i="9"/>
  <c r="I117" i="7"/>
  <c r="R48" i="7" s="1"/>
  <c r="I119" i="7"/>
  <c r="R82" i="7" s="1"/>
  <c r="I137" i="7"/>
  <c r="R50" i="7" s="1"/>
  <c r="I135" i="7"/>
  <c r="R16" i="7" s="1"/>
  <c r="I138" i="7"/>
  <c r="R67" i="7" s="1"/>
  <c r="I27" i="7"/>
  <c r="R39" i="7" s="1"/>
  <c r="I139" i="7"/>
  <c r="R84" i="7" s="1"/>
  <c r="I26" i="7"/>
  <c r="R22" i="7" s="1"/>
  <c r="I99" i="7"/>
  <c r="R80" i="7" s="1"/>
  <c r="I100" i="7"/>
  <c r="R97" i="7" s="1"/>
  <c r="I28" i="7"/>
  <c r="R56" i="7" s="1"/>
  <c r="I30" i="7"/>
  <c r="R90" i="7" s="1"/>
  <c r="I118" i="7"/>
  <c r="R65" i="7" s="1"/>
  <c r="I25" i="7"/>
  <c r="R5" i="7" s="1"/>
  <c r="I49" i="7"/>
  <c r="R75" i="7" s="1"/>
  <c r="I85" i="7"/>
  <c r="R11" i="7" s="1"/>
  <c r="I48" i="7"/>
  <c r="R58" i="7" s="1"/>
  <c r="I148" i="7"/>
  <c r="R68" i="7" s="1"/>
  <c r="I89" i="7"/>
  <c r="R79" i="7" s="1"/>
  <c r="I87" i="7"/>
  <c r="R45" i="7" s="1"/>
  <c r="I150" i="7"/>
  <c r="R102" i="7" s="1"/>
  <c r="I45" i="7"/>
  <c r="R7" i="7" s="1"/>
  <c r="I116" i="7"/>
  <c r="R31" i="7" s="1"/>
  <c r="I97" i="7"/>
  <c r="R46" i="7" s="1"/>
  <c r="I55" i="7"/>
  <c r="R8" i="7" s="1"/>
  <c r="I96" i="7"/>
  <c r="R29" i="7" s="1"/>
  <c r="I86" i="7"/>
  <c r="R28" i="7" s="1"/>
  <c r="I90" i="7"/>
  <c r="R96" i="7" s="1"/>
  <c r="I145" i="7"/>
  <c r="R17" i="7" s="1"/>
  <c r="I146" i="7"/>
  <c r="R34" i="7" s="1"/>
  <c r="I6" i="7"/>
  <c r="R20" i="7" s="1"/>
  <c r="I9" i="7"/>
  <c r="R71" i="7" s="1"/>
  <c r="I47" i="7"/>
  <c r="R41" i="7" s="1"/>
  <c r="I67" i="7"/>
  <c r="R43" i="7" s="1"/>
  <c r="I95" i="7"/>
  <c r="R12" i="7" s="1"/>
  <c r="I149" i="7"/>
  <c r="R85" i="7" s="1"/>
  <c r="I50" i="7"/>
  <c r="R92" i="7" s="1"/>
  <c r="I70" i="7"/>
  <c r="R94" i="7" s="1"/>
  <c r="I66" i="7"/>
  <c r="R26" i="7" s="1"/>
  <c r="I78" i="7"/>
  <c r="R61" i="7" s="1"/>
  <c r="I5" i="7"/>
  <c r="R3" i="7" s="1"/>
  <c r="I77" i="7"/>
  <c r="R44" i="7" s="1"/>
  <c r="I69" i="7"/>
  <c r="R77" i="7" s="1"/>
  <c r="I80" i="7"/>
  <c r="R95" i="7" s="1"/>
  <c r="I76" i="7"/>
  <c r="R27" i="7" s="1"/>
  <c r="I8" i="7"/>
  <c r="R54" i="7" s="1"/>
  <c r="I75" i="7"/>
  <c r="R10" i="7" s="1"/>
  <c r="I7" i="7"/>
  <c r="R37" i="7" s="1"/>
  <c r="I129" i="7"/>
  <c r="R83" i="7" s="1"/>
  <c r="I57" i="7"/>
  <c r="R42" i="7" s="1"/>
  <c r="I106" i="7"/>
  <c r="R30" i="7" s="1"/>
  <c r="I18" i="7"/>
  <c r="R55" i="7" s="1"/>
  <c r="I38" i="7"/>
  <c r="R57" i="7" s="1"/>
  <c r="I58" i="7"/>
  <c r="R59" i="7" s="1"/>
  <c r="I108" i="7"/>
  <c r="R64" i="7" s="1"/>
  <c r="I19" i="7"/>
  <c r="R72" i="7" s="1"/>
  <c r="I36" i="7"/>
  <c r="R23" i="7" s="1"/>
  <c r="I59" i="7"/>
  <c r="R76" i="7" s="1"/>
  <c r="I130" i="7"/>
  <c r="R100" i="7" s="1"/>
  <c r="I125" i="7"/>
  <c r="R15" i="7" s="1"/>
  <c r="I105" i="7"/>
  <c r="R13" i="7" s="1"/>
  <c r="I37" i="7"/>
  <c r="R40" i="7" s="1"/>
  <c r="I56" i="7"/>
  <c r="R25" i="7" s="1"/>
  <c r="I15" i="7"/>
  <c r="R4" i="7" s="1"/>
  <c r="I39" i="7"/>
  <c r="R74" i="7" s="1"/>
  <c r="I127" i="7"/>
  <c r="R49" i="7" s="1"/>
  <c r="I68" i="7"/>
  <c r="R60" i="7" s="1"/>
  <c r="I109" i="7"/>
  <c r="R81" i="7" s="1"/>
  <c r="I16" i="7"/>
  <c r="R21" i="7" s="1"/>
  <c r="I35" i="7"/>
  <c r="R6" i="7" s="1"/>
  <c r="I17" i="7"/>
  <c r="R38" i="7" s="1"/>
  <c r="I126" i="7"/>
  <c r="R32" i="7" s="1"/>
  <c r="I107" i="7"/>
  <c r="R47" i="7" s="1"/>
  <c r="K1" i="3"/>
  <c r="U1" i="3"/>
  <c r="AE1" i="3"/>
  <c r="AO1" i="3"/>
  <c r="AY1" i="3"/>
  <c r="A1" i="3"/>
  <c r="Q95" i="9" l="1"/>
  <c r="G10" i="10" s="1"/>
  <c r="H8" i="10"/>
  <c r="I7" i="10"/>
  <c r="O7" i="10" s="1"/>
  <c r="H7" i="10"/>
  <c r="I8" i="10"/>
  <c r="K8" i="10" s="1"/>
  <c r="S57" i="9"/>
  <c r="R17" i="9"/>
  <c r="S38" i="9"/>
  <c r="L19" i="9"/>
  <c r="B6" i="10" s="1"/>
  <c r="R13" i="9"/>
  <c r="N19" i="9"/>
  <c r="D6" i="10" s="1"/>
  <c r="R57" i="9"/>
  <c r="R38" i="9"/>
  <c r="L95" i="9"/>
  <c r="B10" i="10" s="1"/>
  <c r="R80" i="9"/>
  <c r="R95" i="9" s="1"/>
  <c r="R99" i="9"/>
  <c r="R114" i="9" s="1"/>
  <c r="L114" i="9"/>
  <c r="B11" i="10" s="1"/>
  <c r="K20" i="9"/>
  <c r="R61" i="9"/>
  <c r="R76" i="9" s="1"/>
  <c r="L76" i="9"/>
  <c r="B9" i="10" s="1"/>
  <c r="Q114" i="9" l="1"/>
  <c r="G11" i="10" s="1"/>
  <c r="H6" i="10"/>
  <c r="K7" i="10"/>
  <c r="N7" i="10"/>
  <c r="L7" i="10"/>
  <c r="L8" i="10"/>
  <c r="S76" i="9"/>
  <c r="S95" i="9"/>
  <c r="M7" i="10"/>
  <c r="P7" i="10"/>
  <c r="M8" i="10"/>
  <c r="P8" i="10"/>
  <c r="I11" i="10"/>
  <c r="H11" i="10"/>
  <c r="N8" i="10"/>
  <c r="O8" i="10"/>
  <c r="I6" i="10"/>
  <c r="M6" i="10" s="1"/>
  <c r="S19" i="9"/>
  <c r="R19" i="9"/>
  <c r="S114" i="9"/>
  <c r="P11" i="10" l="1"/>
  <c r="K11" i="10"/>
  <c r="K6" i="10"/>
  <c r="I10" i="10"/>
  <c r="K10" i="10" s="1"/>
  <c r="H10" i="10"/>
  <c r="M11" i="10"/>
  <c r="N11" i="10"/>
  <c r="L11" i="10"/>
  <c r="O11" i="10"/>
  <c r="I9" i="10"/>
  <c r="K9" i="10" s="1"/>
  <c r="H9" i="10"/>
  <c r="P6" i="10"/>
  <c r="O6" i="10"/>
  <c r="L6" i="10"/>
  <c r="N6" i="10"/>
  <c r="L9" i="10" l="1"/>
  <c r="P9" i="10"/>
  <c r="M9" i="10"/>
  <c r="O9" i="10"/>
  <c r="N9" i="10"/>
  <c r="P10" i="10"/>
  <c r="O10" i="10"/>
  <c r="N10" i="10"/>
  <c r="L10" i="10"/>
  <c r="M10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<sst xmlns="http://schemas.openxmlformats.org/spreadsheetml/2006/main" count="1028" uniqueCount="160">
  <si>
    <t>now</t>
    <phoneticPr fontId="1"/>
  </si>
  <si>
    <t>村上市</t>
    <rPh sb="0" eb="3">
      <t>ムラカミシ</t>
    </rPh>
    <phoneticPr fontId="1"/>
  </si>
  <si>
    <t>荒川町</t>
    <rPh sb="0" eb="3">
      <t>アラカワマチ</t>
    </rPh>
    <phoneticPr fontId="1"/>
  </si>
  <si>
    <t>神林村</t>
    <rPh sb="0" eb="3">
      <t>カミハヤシムラ</t>
    </rPh>
    <phoneticPr fontId="1"/>
  </si>
  <si>
    <t>朝日村</t>
    <rPh sb="0" eb="3">
      <t>アサヒムラ</t>
    </rPh>
    <phoneticPr fontId="1"/>
  </si>
  <si>
    <t>山北町</t>
    <rPh sb="0" eb="3">
      <t>サンポクマチ</t>
    </rPh>
    <phoneticPr fontId="1"/>
  </si>
  <si>
    <t>長岡市</t>
    <rPh sb="0" eb="3">
      <t>ナガオカシ</t>
    </rPh>
    <phoneticPr fontId="1"/>
  </si>
  <si>
    <t>川口町</t>
    <rPh sb="0" eb="2">
      <t>カワグチ</t>
    </rPh>
    <rPh sb="2" eb="3">
      <t>マチ</t>
    </rPh>
    <phoneticPr fontId="1"/>
  </si>
  <si>
    <t>Merge1</t>
    <phoneticPr fontId="1"/>
  </si>
  <si>
    <t>Merge2</t>
  </si>
  <si>
    <t>Merge3</t>
  </si>
  <si>
    <t>Merge4</t>
  </si>
  <si>
    <t>Merge5</t>
  </si>
  <si>
    <t>新潟市</t>
    <rPh sb="0" eb="3">
      <t>ニイガタシ</t>
    </rPh>
    <phoneticPr fontId="1"/>
  </si>
  <si>
    <t>巻町</t>
    <rPh sb="0" eb="2">
      <t>マキマチ</t>
    </rPh>
    <phoneticPr fontId="1"/>
  </si>
  <si>
    <t>和島村</t>
    <rPh sb="0" eb="2">
      <t>ワジマ</t>
    </rPh>
    <rPh sb="2" eb="3">
      <t>ムラ</t>
    </rPh>
    <phoneticPr fontId="1"/>
  </si>
  <si>
    <t>寺泊町</t>
    <rPh sb="0" eb="3">
      <t>テラドマリマチ</t>
    </rPh>
    <phoneticPr fontId="1"/>
  </si>
  <si>
    <t>栃尾市</t>
    <rPh sb="0" eb="3">
      <t>トチオシ</t>
    </rPh>
    <phoneticPr fontId="1"/>
  </si>
  <si>
    <t>与板町</t>
    <rPh sb="0" eb="3">
      <t>ヨイタマチ</t>
    </rPh>
    <phoneticPr fontId="1"/>
  </si>
  <si>
    <t>五泉市</t>
    <rPh sb="0" eb="3">
      <t>ゴセンシ</t>
    </rPh>
    <phoneticPr fontId="1"/>
  </si>
  <si>
    <t>村松町</t>
    <rPh sb="0" eb="3">
      <t>ムラマツマチ</t>
    </rPh>
    <phoneticPr fontId="1"/>
  </si>
  <si>
    <t>南魚沼市</t>
    <rPh sb="0" eb="4">
      <t>ミナミウオヌマシ</t>
    </rPh>
    <phoneticPr fontId="1"/>
  </si>
  <si>
    <t>塩沢町</t>
    <rPh sb="0" eb="3">
      <t>シオザワマチ</t>
    </rPh>
    <phoneticPr fontId="1"/>
  </si>
  <si>
    <t>-</t>
    <phoneticPr fontId="1"/>
  </si>
  <si>
    <t>day1</t>
    <phoneticPr fontId="1"/>
  </si>
  <si>
    <t>day2</t>
    <phoneticPr fontId="1"/>
  </si>
  <si>
    <t>三条市</t>
    <rPh sb="0" eb="3">
      <t>サンジョウシ</t>
    </rPh>
    <phoneticPr fontId="1"/>
  </si>
  <si>
    <t>柏崎市</t>
    <rPh sb="0" eb="3">
      <t>カシワザキシ</t>
    </rPh>
    <phoneticPr fontId="1"/>
  </si>
  <si>
    <t>新発田市</t>
    <rPh sb="0" eb="4">
      <t>シバタシ</t>
    </rPh>
    <phoneticPr fontId="1"/>
  </si>
  <si>
    <t>小千谷市</t>
    <rPh sb="0" eb="4">
      <t>オヂヤシ</t>
    </rPh>
    <phoneticPr fontId="1"/>
  </si>
  <si>
    <t>加茂市</t>
    <rPh sb="0" eb="3">
      <t>カモシ</t>
    </rPh>
    <phoneticPr fontId="1"/>
  </si>
  <si>
    <t>十日町市</t>
    <rPh sb="0" eb="3">
      <t>トウカマチ</t>
    </rPh>
    <rPh sb="3" eb="4">
      <t>シ</t>
    </rPh>
    <phoneticPr fontId="1"/>
  </si>
  <si>
    <t>見附市</t>
    <rPh sb="0" eb="3">
      <t>ミツケシ</t>
    </rPh>
    <phoneticPr fontId="1"/>
  </si>
  <si>
    <t>燕市</t>
    <rPh sb="0" eb="2">
      <t>ツバメシ</t>
    </rPh>
    <phoneticPr fontId="1"/>
  </si>
  <si>
    <t>糸魚川市</t>
    <rPh sb="0" eb="4">
      <t>イトイガワシ</t>
    </rPh>
    <phoneticPr fontId="1"/>
  </si>
  <si>
    <t>妙高市</t>
    <rPh sb="0" eb="3">
      <t>ミョウコウシ</t>
    </rPh>
    <phoneticPr fontId="1"/>
  </si>
  <si>
    <t>now_code</t>
    <phoneticPr fontId="1"/>
  </si>
  <si>
    <t>上越市</t>
    <rPh sb="0" eb="3">
      <t>ジョウエツシ</t>
    </rPh>
    <phoneticPr fontId="1"/>
  </si>
  <si>
    <t>阿賀野市</t>
    <rPh sb="0" eb="3">
      <t>アガノ</t>
    </rPh>
    <rPh sb="3" eb="4">
      <t>シ</t>
    </rPh>
    <phoneticPr fontId="1"/>
  </si>
  <si>
    <t>佐渡市</t>
    <rPh sb="0" eb="3">
      <t>サドシ</t>
    </rPh>
    <phoneticPr fontId="1"/>
  </si>
  <si>
    <t>魚沼市</t>
    <rPh sb="0" eb="3">
      <t>ウオヌマシ</t>
    </rPh>
    <phoneticPr fontId="1"/>
  </si>
  <si>
    <t>胎内市</t>
    <rPh sb="0" eb="3">
      <t>タイナイシ</t>
    </rPh>
    <phoneticPr fontId="1"/>
  </si>
  <si>
    <t>聖籠町</t>
    <rPh sb="0" eb="3">
      <t>セイロマチ</t>
    </rPh>
    <phoneticPr fontId="1"/>
  </si>
  <si>
    <t>弥彦村</t>
    <rPh sb="0" eb="3">
      <t>ヤヒコムラ</t>
    </rPh>
    <phoneticPr fontId="1"/>
  </si>
  <si>
    <t>田上町</t>
    <rPh sb="0" eb="3">
      <t>タガミマチ</t>
    </rPh>
    <phoneticPr fontId="1"/>
  </si>
  <si>
    <t>阿賀町</t>
    <rPh sb="0" eb="3">
      <t>アガマチ</t>
    </rPh>
    <phoneticPr fontId="1"/>
  </si>
  <si>
    <t>出雲崎町</t>
    <rPh sb="0" eb="4">
      <t>イズモザキマチ</t>
    </rPh>
    <phoneticPr fontId="1"/>
  </si>
  <si>
    <t>湯沢町</t>
    <rPh sb="0" eb="2">
      <t>ユザワ</t>
    </rPh>
    <rPh sb="2" eb="3">
      <t>マチ</t>
    </rPh>
    <phoneticPr fontId="1"/>
  </si>
  <si>
    <t>津南町</t>
    <rPh sb="0" eb="3">
      <t>ツナンマチ</t>
    </rPh>
    <phoneticPr fontId="1"/>
  </si>
  <si>
    <t>刈羽村</t>
    <rPh sb="0" eb="3">
      <t>カリワムラ</t>
    </rPh>
    <phoneticPr fontId="1"/>
  </si>
  <si>
    <t>関川村</t>
    <rPh sb="0" eb="2">
      <t>セキカワ</t>
    </rPh>
    <rPh sb="2" eb="3">
      <t>ムラ</t>
    </rPh>
    <phoneticPr fontId="1"/>
  </si>
  <si>
    <t>粟島浦村</t>
    <rPh sb="0" eb="4">
      <t>アワシマウラムラ</t>
    </rPh>
    <phoneticPr fontId="1"/>
  </si>
  <si>
    <t>M1_code</t>
    <phoneticPr fontId="1"/>
  </si>
  <si>
    <t>M2_code</t>
  </si>
  <si>
    <t>M3_code</t>
  </si>
  <si>
    <t>M4_code</t>
  </si>
  <si>
    <t>M5_code</t>
  </si>
  <si>
    <t>code</t>
    <phoneticPr fontId="1"/>
  </si>
  <si>
    <t>平成17年</t>
    <rPh sb="0" eb="2">
      <t>ヘイセイ</t>
    </rPh>
    <rPh sb="4" eb="5">
      <t>ネン</t>
    </rPh>
    <phoneticPr fontId="1"/>
  </si>
  <si>
    <t>平成22年～</t>
    <rPh sb="0" eb="2">
      <t>ヘイセイ</t>
    </rPh>
    <rPh sb="4" eb="5">
      <t>ネン</t>
    </rPh>
    <phoneticPr fontId="1"/>
  </si>
  <si>
    <t>一般世帯合計</t>
    <rPh sb="0" eb="2">
      <t>イッパン</t>
    </rPh>
    <rPh sb="2" eb="4">
      <t>セタイ</t>
    </rPh>
    <rPh sb="4" eb="6">
      <t>ゴウケイ</t>
    </rPh>
    <phoneticPr fontId="1"/>
  </si>
  <si>
    <t>15歳未満</t>
    <rPh sb="2" eb="3">
      <t>サイ</t>
    </rPh>
    <rPh sb="3" eb="5">
      <t>ミマン</t>
    </rPh>
    <phoneticPr fontId="1"/>
  </si>
  <si>
    <t>15~19</t>
    <phoneticPr fontId="1"/>
  </si>
  <si>
    <t>20~24</t>
    <phoneticPr fontId="1"/>
  </si>
  <si>
    <t>25~29</t>
    <phoneticPr fontId="1"/>
  </si>
  <si>
    <t>30~34</t>
    <phoneticPr fontId="1"/>
  </si>
  <si>
    <t>35~39</t>
    <phoneticPr fontId="1"/>
  </si>
  <si>
    <t>40~44</t>
    <phoneticPr fontId="1"/>
  </si>
  <si>
    <t>45~49</t>
    <phoneticPr fontId="1"/>
  </si>
  <si>
    <t>50~54</t>
    <phoneticPr fontId="1"/>
  </si>
  <si>
    <t>55~59</t>
    <phoneticPr fontId="1"/>
  </si>
  <si>
    <t>60~64</t>
    <phoneticPr fontId="1"/>
  </si>
  <si>
    <t>65~69</t>
    <phoneticPr fontId="1"/>
  </si>
  <si>
    <t>70~74</t>
    <phoneticPr fontId="1"/>
  </si>
  <si>
    <t>75~79</t>
    <phoneticPr fontId="1"/>
  </si>
  <si>
    <t>80~84</t>
    <phoneticPr fontId="1"/>
  </si>
  <si>
    <t>85歳以上</t>
    <rPh sb="2" eb="5">
      <t>サイイジョウ</t>
    </rPh>
    <phoneticPr fontId="1"/>
  </si>
  <si>
    <t>単独</t>
    <rPh sb="0" eb="2">
      <t>タンドク</t>
    </rPh>
    <phoneticPr fontId="1"/>
  </si>
  <si>
    <t>夫婦のみ</t>
    <rPh sb="0" eb="2">
      <t>フウフ</t>
    </rPh>
    <phoneticPr fontId="1"/>
  </si>
  <si>
    <t>夫婦と子</t>
    <rPh sb="0" eb="2">
      <t>フウフ</t>
    </rPh>
    <rPh sb="3" eb="4">
      <t>コ</t>
    </rPh>
    <phoneticPr fontId="1"/>
  </si>
  <si>
    <t>ひとり親と子</t>
    <rPh sb="3" eb="4">
      <t>オヤ</t>
    </rPh>
    <rPh sb="5" eb="6">
      <t>コ</t>
    </rPh>
    <phoneticPr fontId="1"/>
  </si>
  <si>
    <t>その他</t>
    <rPh sb="2" eb="3">
      <t>タ</t>
    </rPh>
    <phoneticPr fontId="1"/>
  </si>
  <si>
    <t>施設等</t>
    <rPh sb="0" eb="2">
      <t>シセツ</t>
    </rPh>
    <rPh sb="2" eb="3">
      <t>トウ</t>
    </rPh>
    <phoneticPr fontId="1"/>
  </si>
  <si>
    <t>不詳</t>
    <rPh sb="0" eb="2">
      <t>フショウ</t>
    </rPh>
    <phoneticPr fontId="1"/>
  </si>
  <si>
    <t>合計</t>
    <rPh sb="0" eb="2">
      <t>ゴウケイ</t>
    </rPh>
    <phoneticPr fontId="1"/>
  </si>
  <si>
    <t>H17(2005)</t>
    <phoneticPr fontId="1"/>
  </si>
  <si>
    <t>H22(2010)</t>
    <phoneticPr fontId="1"/>
  </si>
  <si>
    <t>H27(2015)</t>
    <phoneticPr fontId="1"/>
  </si>
  <si>
    <t>etc</t>
    <phoneticPr fontId="1"/>
  </si>
  <si>
    <t>総数</t>
    <rPh sb="0" eb="2">
      <t>ソウスウ</t>
    </rPh>
    <phoneticPr fontId="1"/>
  </si>
  <si>
    <t>不詳</t>
    <phoneticPr fontId="1"/>
  </si>
  <si>
    <t>15歳未満</t>
    <phoneticPr fontId="1"/>
  </si>
  <si>
    <t>85歳以上</t>
    <phoneticPr fontId="1"/>
  </si>
  <si>
    <t>不詳按分</t>
    <phoneticPr fontId="1"/>
  </si>
  <si>
    <t>合計</t>
    <phoneticPr fontId="1"/>
  </si>
  <si>
    <t>世帯主率法</t>
    <rPh sb="0" eb="3">
      <t>セタイヌシ</t>
    </rPh>
    <rPh sb="3" eb="4">
      <t>リツ</t>
    </rPh>
    <rPh sb="4" eb="5">
      <t>ホウ</t>
    </rPh>
    <phoneticPr fontId="1"/>
  </si>
  <si>
    <t>H17</t>
    <phoneticPr fontId="1"/>
  </si>
  <si>
    <t>H22</t>
    <phoneticPr fontId="1"/>
  </si>
  <si>
    <t>H27</t>
    <phoneticPr fontId="1"/>
  </si>
  <si>
    <t>R02</t>
    <phoneticPr fontId="1"/>
  </si>
  <si>
    <t>R07</t>
    <phoneticPr fontId="1"/>
  </si>
  <si>
    <t>R12</t>
    <phoneticPr fontId="1"/>
  </si>
  <si>
    <t>R17</t>
    <phoneticPr fontId="1"/>
  </si>
  <si>
    <t>R22</t>
    <phoneticPr fontId="1"/>
  </si>
  <si>
    <t>R27</t>
    <phoneticPr fontId="1"/>
  </si>
  <si>
    <t>単独世帯</t>
    <rPh sb="0" eb="2">
      <t>タンドク</t>
    </rPh>
    <rPh sb="2" eb="4">
      <t>セタイ</t>
    </rPh>
    <phoneticPr fontId="5"/>
  </si>
  <si>
    <t>夫婦のみ</t>
  </si>
  <si>
    <t>夫婦と子</t>
  </si>
  <si>
    <t>ひとり親と子</t>
  </si>
  <si>
    <t>他一般世帯</t>
  </si>
  <si>
    <t>総世帯</t>
    <rPh sb="0" eb="1">
      <t>ソウ</t>
    </rPh>
    <rPh sb="1" eb="3">
      <t>セタイ</t>
    </rPh>
    <phoneticPr fontId="5"/>
  </si>
  <si>
    <t>世帯主推計</t>
    <rPh sb="0" eb="3">
      <t>セタイヌシ</t>
    </rPh>
    <rPh sb="3" eb="5">
      <t>スイケイ</t>
    </rPh>
    <phoneticPr fontId="1"/>
  </si>
  <si>
    <t>将来世帯主率</t>
    <rPh sb="0" eb="2">
      <t>ショウライ</t>
    </rPh>
    <rPh sb="2" eb="5">
      <t>セタイヌシ</t>
    </rPh>
    <rPh sb="5" eb="6">
      <t>リツ</t>
    </rPh>
    <phoneticPr fontId="1"/>
  </si>
  <si>
    <t>R02(2020)</t>
    <phoneticPr fontId="1"/>
  </si>
  <si>
    <t>R07(2025)</t>
    <phoneticPr fontId="1"/>
  </si>
  <si>
    <t>R12(2030)</t>
    <phoneticPr fontId="1"/>
  </si>
  <si>
    <t>R17(2035)</t>
    <phoneticPr fontId="1"/>
  </si>
  <si>
    <t>R22(2040)</t>
    <phoneticPr fontId="1"/>
  </si>
  <si>
    <t>R27(2045)</t>
    <phoneticPr fontId="1"/>
  </si>
  <si>
    <t>15~19</t>
  </si>
  <si>
    <t>20~24</t>
  </si>
  <si>
    <t>25~29</t>
  </si>
  <si>
    <t>30~34</t>
  </si>
  <si>
    <t>35~39</t>
  </si>
  <si>
    <t>40~44</t>
  </si>
  <si>
    <t>45~49</t>
  </si>
  <si>
    <t>50~54</t>
  </si>
  <si>
    <t>55~59</t>
  </si>
  <si>
    <t>60~64</t>
  </si>
  <si>
    <t>65~69</t>
  </si>
  <si>
    <t>70~74</t>
  </si>
  <si>
    <t>75~79</t>
  </si>
  <si>
    <t>80~84</t>
  </si>
  <si>
    <t>15歳未満</t>
  </si>
  <si>
    <t>85歳以上</t>
  </si>
  <si>
    <t>合計</t>
  </si>
  <si>
    <t>一般世帯合計</t>
  </si>
  <si>
    <t>単独</t>
  </si>
  <si>
    <t>その他</t>
  </si>
  <si>
    <t>施設等</t>
  </si>
  <si>
    <t>総世帯</t>
    <rPh sb="0" eb="1">
      <t>ソウ</t>
    </rPh>
    <rPh sb="1" eb="3">
      <t>セタイ</t>
    </rPh>
    <phoneticPr fontId="1"/>
  </si>
  <si>
    <t>■将来年齢階級別人口</t>
    <rPh sb="1" eb="3">
      <t>ショウライ</t>
    </rPh>
    <rPh sb="3" eb="5">
      <t>ネンレイ</t>
    </rPh>
    <rPh sb="5" eb="7">
      <t>カイキュウ</t>
    </rPh>
    <rPh sb="7" eb="8">
      <t>ベツ</t>
    </rPh>
    <rPh sb="8" eb="10">
      <t>ジンコウ</t>
    </rPh>
    <phoneticPr fontId="1"/>
  </si>
  <si>
    <t>将来世帯数（整数化）</t>
    <rPh sb="0" eb="2">
      <t>ショウライ</t>
    </rPh>
    <rPh sb="2" eb="5">
      <t>セタイスウ</t>
    </rPh>
    <rPh sb="6" eb="8">
      <t>セイスウ</t>
    </rPh>
    <rPh sb="8" eb="9">
      <t>カ</t>
    </rPh>
    <phoneticPr fontId="1"/>
  </si>
  <si>
    <t>単独世帯</t>
    <rPh sb="0" eb="2">
      <t>タンドク</t>
    </rPh>
    <rPh sb="2" eb="4">
      <t>セタイ</t>
    </rPh>
    <phoneticPr fontId="1"/>
  </si>
  <si>
    <t>他一般世帯</t>
    <rPh sb="0" eb="1">
      <t>ホカ</t>
    </rPh>
    <rPh sb="1" eb="3">
      <t>イッパン</t>
    </rPh>
    <rPh sb="3" eb="5">
      <t>セタイ</t>
    </rPh>
    <phoneticPr fontId="1"/>
  </si>
  <si>
    <t>一般世帯計</t>
    <rPh sb="0" eb="2">
      <t>イッパン</t>
    </rPh>
    <rPh sb="2" eb="4">
      <t>セタイ</t>
    </rPh>
    <rPh sb="4" eb="5">
      <t>ケイ</t>
    </rPh>
    <phoneticPr fontId="1"/>
  </si>
  <si>
    <t>平成17</t>
    <rPh sb="0" eb="2">
      <t>ヘイセイ</t>
    </rPh>
    <phoneticPr fontId="1"/>
  </si>
  <si>
    <t>平成22</t>
    <rPh sb="0" eb="2">
      <t>ヘイセイ</t>
    </rPh>
    <phoneticPr fontId="1"/>
  </si>
  <si>
    <t>平成27</t>
    <rPh sb="0" eb="2">
      <t>ヘイセイ</t>
    </rPh>
    <phoneticPr fontId="1"/>
  </si>
  <si>
    <t>令和2</t>
    <rPh sb="0" eb="2">
      <t>レイワ</t>
    </rPh>
    <phoneticPr fontId="1"/>
  </si>
  <si>
    <t>令和7</t>
    <rPh sb="0" eb="2">
      <t>レイワ</t>
    </rPh>
    <phoneticPr fontId="1"/>
  </si>
  <si>
    <t>令和12</t>
    <rPh sb="0" eb="2">
      <t>レイワ</t>
    </rPh>
    <phoneticPr fontId="1"/>
  </si>
  <si>
    <t>令和17</t>
    <rPh sb="0" eb="2">
      <t>レイワ</t>
    </rPh>
    <phoneticPr fontId="1"/>
  </si>
  <si>
    <t>令和22</t>
    <rPh sb="0" eb="2">
      <t>レイワ</t>
    </rPh>
    <phoneticPr fontId="1"/>
  </si>
  <si>
    <t>令和27</t>
    <rPh sb="0" eb="2">
      <t>レイワ</t>
    </rPh>
    <phoneticPr fontId="1"/>
  </si>
  <si>
    <t>①</t>
    <phoneticPr fontId="1"/>
  </si>
  <si>
    <t>②</t>
    <phoneticPr fontId="1"/>
  </si>
  <si>
    <t>③</t>
    <phoneticPr fontId="1"/>
  </si>
  <si>
    <t>分水町</t>
    <rPh sb="0" eb="3">
      <t>ブンスイマチ</t>
    </rPh>
    <phoneticPr fontId="1"/>
  </si>
  <si>
    <t>吉田町</t>
    <rPh sb="0" eb="2">
      <t>ヨシダ</t>
    </rPh>
    <rPh sb="2" eb="3">
      <t>マチ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</si>
</sst>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_ "/>
    <numFmt numFmtId="177" formatCode="#,##0.00_ "/>
    <numFmt numFmtId="178" formatCode="0.0%"/>
  </numFmts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i/>
      <sz val="10"/>
      <color theme="1"/>
      <name val="游ゴシック"/>
      <family val="3"/>
      <charset val="128"/>
      <scheme val="minor"/>
    </font>
    <font>
      <i/>
      <sz val="8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1"/>
      <name val="HGPｺﾞｼｯｸM"/>
      <family val="3"/>
      <charset val="128"/>
    </font>
    <font>
      <b/>
      <sz val="11"/>
      <color rgb="FFFF0000"/>
      <name val="游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57" fontId="0" fillId="0" borderId="0" xfId="0" applyNumberFormat="1">
      <alignment vertical="center"/>
    </xf>
    <xf numFmtId="38" fontId="0" fillId="0" borderId="0" xfId="1" applyFont="1" applyAlignment="1">
      <alignment vertical="center" shrinkToFit="1"/>
    </xf>
    <xf numFmtId="38" fontId="3" fillId="0" borderId="0" xfId="1" applyFont="1" applyAlignment="1">
      <alignment vertical="center" shrinkToFit="1"/>
    </xf>
    <xf numFmtId="38" fontId="4" fillId="0" borderId="0" xfId="1" applyFont="1" applyAlignment="1">
      <alignment vertical="center" shrinkToFit="1"/>
    </xf>
    <xf numFmtId="0" fontId="4" fillId="0" borderId="0" xfId="0" applyFont="1">
      <alignment vertical="center"/>
    </xf>
    <xf numFmtId="38" fontId="0" fillId="0" borderId="0" xfId="0" applyNumberFormat="1">
      <alignment vertical="center"/>
    </xf>
    <xf numFmtId="38" fontId="6" fillId="0" borderId="0" xfId="1" applyFont="1" applyAlignment="1">
      <alignment vertical="center" shrinkToFit="1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5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1" xfId="0" applyFill="1" applyBorder="1" applyProtection="1">
      <alignment vertical="center"/>
      <protection locked="0"/>
    </xf>
    <xf numFmtId="38" fontId="0" fillId="0" borderId="0" xfId="1" applyFont="1">
      <alignment vertical="center"/>
    </xf>
    <xf numFmtId="176" fontId="4" fillId="0" borderId="0" xfId="0" applyNumberFormat="1" applyFont="1">
      <alignment vertical="center"/>
    </xf>
    <xf numFmtId="176" fontId="6" fillId="0" borderId="0" xfId="1" applyNumberFormat="1" applyFont="1" applyAlignment="1">
      <alignment vertical="center" shrinkToFit="1"/>
    </xf>
    <xf numFmtId="176" fontId="0" fillId="0" borderId="0" xfId="0" applyNumberFormat="1">
      <alignment vertical="center"/>
    </xf>
    <xf numFmtId="176" fontId="3" fillId="0" borderId="0" xfId="1" applyNumberFormat="1" applyFont="1" applyAlignment="1">
      <alignment vertical="center" shrinkToFit="1"/>
    </xf>
    <xf numFmtId="176" fontId="0" fillId="0" borderId="0" xfId="1" applyNumberFormat="1" applyFont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4" borderId="0" xfId="0" applyFill="1">
      <alignment vertical="center"/>
    </xf>
    <xf numFmtId="0" fontId="0" fillId="4" borderId="8" xfId="0" applyFill="1" applyBorder="1">
      <alignment vertical="center"/>
    </xf>
    <xf numFmtId="176" fontId="0" fillId="4" borderId="0" xfId="0" applyNumberFormat="1" applyFill="1" applyAlignment="1">
      <alignment vertical="center" shrinkToFit="1"/>
    </xf>
    <xf numFmtId="176" fontId="0" fillId="4" borderId="8" xfId="0" applyNumberFormat="1" applyFill="1" applyBorder="1" applyAlignment="1">
      <alignment vertical="center" shrinkToFit="1"/>
    </xf>
    <xf numFmtId="0" fontId="3" fillId="0" borderId="0" xfId="0" applyFont="1">
      <alignment vertical="center"/>
    </xf>
    <xf numFmtId="38" fontId="4" fillId="0" borderId="0" xfId="1" applyFont="1">
      <alignment vertical="center"/>
    </xf>
    <xf numFmtId="38" fontId="11" fillId="0" borderId="0" xfId="1" applyFont="1" applyAlignment="1">
      <alignment vertical="center" shrinkToFit="1"/>
    </xf>
    <xf numFmtId="38" fontId="8" fillId="5" borderId="0" xfId="1" applyFont="1" applyFill="1">
      <alignment vertical="center"/>
    </xf>
    <xf numFmtId="38" fontId="9" fillId="7" borderId="0" xfId="3" applyNumberFormat="1">
      <alignment vertical="center"/>
    </xf>
    <xf numFmtId="0" fontId="4" fillId="0" borderId="0" xfId="0" applyFont="1" applyAlignment="1">
      <alignment vertical="center" shrinkToFit="1"/>
    </xf>
    <xf numFmtId="0" fontId="11" fillId="0" borderId="0" xfId="0" applyFont="1" applyAlignment="1">
      <alignment vertical="center" shrinkToFit="1"/>
    </xf>
    <xf numFmtId="38" fontId="10" fillId="6" borderId="0" xfId="2" applyNumberFormat="1" applyFont="1" applyAlignment="1">
      <alignment vertical="center" shrinkToFit="1"/>
    </xf>
    <xf numFmtId="38" fontId="4" fillId="6" borderId="0" xfId="2" applyNumberFormat="1" applyFont="1" applyAlignment="1">
      <alignment vertical="center" shrinkToFit="1"/>
    </xf>
    <xf numFmtId="0" fontId="4" fillId="6" borderId="0" xfId="2" applyFont="1">
      <alignment vertical="center"/>
    </xf>
    <xf numFmtId="38" fontId="13" fillId="7" borderId="0" xfId="3" applyNumberFormat="1" applyFont="1">
      <alignment vertical="center"/>
    </xf>
    <xf numFmtId="38" fontId="13" fillId="8" borderId="0" xfId="4" applyNumberFormat="1" applyFont="1">
      <alignment vertical="center"/>
    </xf>
    <xf numFmtId="177" fontId="12" fillId="0" borderId="0" xfId="0" applyNumberFormat="1" applyFont="1" applyAlignment="1">
      <alignment vertical="center" shrinkToFit="1"/>
    </xf>
    <xf numFmtId="0" fontId="9" fillId="9" borderId="0" xfId="6" applyAlignment="1">
      <alignment horizontal="center" vertical="center" shrinkToFit="1"/>
    </xf>
    <xf numFmtId="38" fontId="2" fillId="13" borderId="0" xfId="9" applyNumberFormat="1">
      <alignment vertical="center"/>
    </xf>
    <xf numFmtId="178" fontId="2" fillId="12" borderId="0" xfId="5" applyNumberFormat="1" applyFill="1">
      <alignment vertical="center"/>
    </xf>
    <xf numFmtId="0" fontId="14" fillId="3" borderId="5" xfId="0" applyFont="1" applyFill="1" applyBorder="1" applyAlignment="1">
      <alignment horizontal="right" vertical="center" indent="1"/>
    </xf>
    <xf numFmtId="38" fontId="2" fillId="11" borderId="0" xfId="8" applyNumberFormat="1" applyAlignment="1">
      <alignment vertical="center" shrinkToFit="1"/>
    </xf>
    <xf numFmtId="38" fontId="10" fillId="11" borderId="0" xfId="8" applyNumberFormat="1" applyFont="1" applyAlignment="1">
      <alignment vertical="center" shrinkToFit="1"/>
    </xf>
    <xf numFmtId="38" fontId="2" fillId="10" borderId="0" xfId="7" applyNumberFormat="1" applyAlignment="1">
      <alignment vertical="center" shrinkToFit="1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0" borderId="0" xfId="0" applyFont="1">
      <alignment vertical="center"/>
    </xf>
  </cellXfs>
  <cellStyles count="10">
    <cellStyle name="20% - アクセント 1" xfId="2" builtinId="30"/>
    <cellStyle name="20% - アクセント 6" xfId="9" builtinId="50"/>
    <cellStyle name="40% - アクセント 3" xfId="7" builtinId="39"/>
    <cellStyle name="60% - アクセント 3" xfId="8" builtinId="40"/>
    <cellStyle name="アクセント 1" xfId="6" builtinId="29"/>
    <cellStyle name="アクセント 5" xfId="3" builtinId="45"/>
    <cellStyle name="アクセント 6" xfId="4" builtinId="49"/>
    <cellStyle name="パーセント" xfId="5" builtinId="5"/>
    <cellStyle name="桁区切り" xfId="1" builtinId="6"/>
    <cellStyle name="標準" xfId="0" builtinId="0"/>
  </cellStyles>
  <dxfs count="13"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世帯数の推移と推計値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'将来世帯数(1)'!$B$2</c:f>
              <c:strCache>
                <c:ptCount val="1"/>
                <c:pt idx="0">
                  <c:v>単独世帯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'将来世帯数(1)'!$B$3:$B$11</c:f>
              <c:numCache>
                <c:formatCode>#,##0_);[Red]\(#,##0\)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A-4812-9ACE-E8FE9569BCAD}"/>
            </c:ext>
          </c:extLst>
        </c:ser>
        <c:ser>
          <c:idx val="1"/>
          <c:order val="1"/>
          <c:tx>
            <c:strRef>
              <c:f>'将来世帯数(1)'!$C$2</c:f>
              <c:strCache>
                <c:ptCount val="1"/>
                <c:pt idx="0">
                  <c:v>夫婦のみ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'将来世帯数(1)'!$C$3:$C$11</c:f>
              <c:numCache>
                <c:formatCode>#,##0_);[Red]\(#,##0\)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AA-4812-9ACE-E8FE9569BCAD}"/>
            </c:ext>
          </c:extLst>
        </c:ser>
        <c:ser>
          <c:idx val="2"/>
          <c:order val="2"/>
          <c:tx>
            <c:strRef>
              <c:f>'将来世帯数(1)'!$D$2</c:f>
              <c:strCache>
                <c:ptCount val="1"/>
                <c:pt idx="0">
                  <c:v>夫婦と子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'将来世帯数(1)'!$D$3:$D$11</c:f>
              <c:numCache>
                <c:formatCode>#,##0_);[Red]\(#,##0\)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AA-4812-9ACE-E8FE9569BCAD}"/>
            </c:ext>
          </c:extLst>
        </c:ser>
        <c:ser>
          <c:idx val="3"/>
          <c:order val="3"/>
          <c:tx>
            <c:strRef>
              <c:f>'将来世帯数(1)'!$E$2</c:f>
              <c:strCache>
                <c:ptCount val="1"/>
                <c:pt idx="0">
                  <c:v>ひとり親と子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'将来世帯数(1)'!$E$3:$E$11</c:f>
              <c:numCache>
                <c:formatCode>#,##0_);[Red]\(#,##0\)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AA-4812-9ACE-E8FE9569BCAD}"/>
            </c:ext>
          </c:extLst>
        </c:ser>
        <c:ser>
          <c:idx val="4"/>
          <c:order val="4"/>
          <c:tx>
            <c:strRef>
              <c:f>'将来世帯数(1)'!$F$2</c:f>
              <c:strCache>
                <c:ptCount val="1"/>
                <c:pt idx="0">
                  <c:v>他一般世帯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'将来世帯数(1)'!$F$3:$F$11</c:f>
              <c:numCache>
                <c:formatCode>#,##0_);[Red]\(#,##0\)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AA-4812-9ACE-E8FE9569BCAD}"/>
            </c:ext>
          </c:extLst>
        </c:ser>
        <c:ser>
          <c:idx val="5"/>
          <c:order val="5"/>
          <c:tx>
            <c:strRef>
              <c:f>'将来世帯数(1)'!$G$2</c:f>
              <c:strCache>
                <c:ptCount val="1"/>
                <c:pt idx="0">
                  <c:v>施設等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666666666666672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C72-41D0-92FC-48FFBB01D8CC}"/>
                </c:ext>
              </c:extLst>
            </c:dLbl>
            <c:dLbl>
              <c:idx val="1"/>
              <c:layout>
                <c:manualLayout>
                  <c:x val="-4.2437781360066642E-17"/>
                  <c:y val="-1.666666666666672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72-41D0-92FC-48FFBB01D8CC}"/>
                </c:ext>
              </c:extLst>
            </c:dLbl>
            <c:dLbl>
              <c:idx val="2"/>
              <c:layout>
                <c:manualLayout>
                  <c:x val="0"/>
                  <c:y val="-2.000000000000005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72-41D0-92FC-48FFBB01D8CC}"/>
                </c:ext>
              </c:extLst>
            </c:dLbl>
            <c:dLbl>
              <c:idx val="3"/>
              <c:layout>
                <c:manualLayout>
                  <c:x val="0"/>
                  <c:y val="-1.666666666666666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72-41D0-92FC-48FFBB01D8CC}"/>
                </c:ext>
              </c:extLst>
            </c:dLbl>
            <c:dLbl>
              <c:idx val="4"/>
              <c:layout>
                <c:manualLayout>
                  <c:x val="0"/>
                  <c:y val="-1.666666666666666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C72-41D0-92FC-48FFBB01D8CC}"/>
                </c:ext>
              </c:extLst>
            </c:dLbl>
            <c:dLbl>
              <c:idx val="5"/>
              <c:layout>
                <c:manualLayout>
                  <c:x val="-8.4875562720133283E-17"/>
                  <c:y val="-1.666666666666666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72-41D0-92FC-48FFBB01D8CC}"/>
                </c:ext>
              </c:extLst>
            </c:dLbl>
            <c:dLbl>
              <c:idx val="6"/>
              <c:layout>
                <c:manualLayout>
                  <c:x val="0"/>
                  <c:y val="-1.333333333333336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72-41D0-92FC-48FFBB01D8CC}"/>
                </c:ext>
              </c:extLst>
            </c:dLbl>
            <c:dLbl>
              <c:idx val="7"/>
              <c:layout>
                <c:manualLayout>
                  <c:x val="0"/>
                  <c:y val="-1.333333333333333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72-41D0-92FC-48FFBB01D8CC}"/>
                </c:ext>
              </c:extLst>
            </c:dLbl>
            <c:dLbl>
              <c:idx val="8"/>
              <c:layout>
                <c:manualLayout>
                  <c:x val="0"/>
                  <c:y val="-0.0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72-41D0-92FC-48FFBB01D8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'将来世帯数(1)'!$G$3:$G$11</c:f>
              <c:numCache>
                <c:formatCode>#,##0_);[Red]\(#,##0\)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AA-4812-9ACE-E8FE9569BC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19503152"/>
        <c:axId val="919501184"/>
      </c:barChart>
      <c:catAx>
        <c:axId val="91950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9501184"/>
        <c:crosses val="autoZero"/>
        <c:auto val="1"/>
        <c:lblAlgn val="ctr"/>
        <c:lblOffset val="100"/>
        <c:noMultiLvlLbl val="0"/>
      </c:catAx>
      <c:valAx>
        <c:axId val="9195011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950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世帯数率の推移と推計値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'将来世帯数(1)'!$K$2</c:f>
              <c:strCache>
                <c:ptCount val="1"/>
                <c:pt idx="0">
                  <c:v>単独世帯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'将来世帯数(1)'!$K$3:$K$11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D-436E-AFA3-73A5FDD395A2}"/>
            </c:ext>
          </c:extLst>
        </c:ser>
        <c:ser>
          <c:idx val="1"/>
          <c:order val="1"/>
          <c:tx>
            <c:strRef>
              <c:f>'将来世帯数(1)'!$L$2</c:f>
              <c:strCache>
                <c:ptCount val="1"/>
                <c:pt idx="0">
                  <c:v>夫婦のみ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'将来世帯数(1)'!$L$3:$L$11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D-436E-AFA3-73A5FDD395A2}"/>
            </c:ext>
          </c:extLst>
        </c:ser>
        <c:ser>
          <c:idx val="2"/>
          <c:order val="2"/>
          <c:tx>
            <c:strRef>
              <c:f>'将来世帯数(1)'!$M$2</c:f>
              <c:strCache>
                <c:ptCount val="1"/>
                <c:pt idx="0">
                  <c:v>夫婦と子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'将来世帯数(1)'!$M$3:$M$11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1D-436E-AFA3-73A5FDD395A2}"/>
            </c:ext>
          </c:extLst>
        </c:ser>
        <c:ser>
          <c:idx val="3"/>
          <c:order val="3"/>
          <c:tx>
            <c:strRef>
              <c:f>'将来世帯数(1)'!$N$2</c:f>
              <c:strCache>
                <c:ptCount val="1"/>
                <c:pt idx="0">
                  <c:v>ひとり親と子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'将来世帯数(1)'!$N$3:$N$11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1D-436E-AFA3-73A5FDD395A2}"/>
            </c:ext>
          </c:extLst>
        </c:ser>
        <c:ser>
          <c:idx val="4"/>
          <c:order val="4"/>
          <c:tx>
            <c:strRef>
              <c:f>'将来世帯数(1)'!$O$2</c:f>
              <c:strCache>
                <c:ptCount val="1"/>
                <c:pt idx="0">
                  <c:v>他一般世帯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'将来世帯数(1)'!$O$3:$O$11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1D-436E-AFA3-73A5FDD395A2}"/>
            </c:ext>
          </c:extLst>
        </c:ser>
        <c:ser>
          <c:idx val="5"/>
          <c:order val="5"/>
          <c:tx>
            <c:strRef>
              <c:f>'将来世帯数(1)'!$P$2</c:f>
              <c:strCache>
                <c:ptCount val="1"/>
                <c:pt idx="0">
                  <c:v>施設等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'将来世帯数(1)'!$A$3:$A$11</c:f>
              <c:strCache>
                <c:ptCount val="9"/>
                <c:pt idx="0">
                  <c:v>平成17</c:v>
                </c:pt>
                <c:pt idx="1">
                  <c:v>平成22</c:v>
                </c:pt>
                <c:pt idx="2">
                  <c:v>平成27</c:v>
                </c:pt>
                <c:pt idx="3">
                  <c:v>令和2</c:v>
                </c:pt>
                <c:pt idx="4">
                  <c:v>令和7</c:v>
                </c:pt>
                <c:pt idx="5">
                  <c:v>令和12</c:v>
                </c:pt>
                <c:pt idx="6">
                  <c:v>令和17</c:v>
                </c:pt>
                <c:pt idx="7">
                  <c:v>令和22</c:v>
                </c:pt>
                <c:pt idx="8">
                  <c:v>令和27</c:v>
                </c:pt>
              </c:strCache>
            </c:strRef>
          </c:cat>
          <c:val>
            <c:numRef>
              <c:f>'将来世帯数(1)'!$P$3:$P$11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1D-436E-AFA3-73A5FDD395A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14890032"/>
        <c:axId val="914886096"/>
      </c:barChart>
      <c:catAx>
        <c:axId val="914890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4886096"/>
        <c:crosses val="autoZero"/>
        <c:auto val="1"/>
        <c:lblAlgn val="ctr"/>
        <c:lblOffset val="100"/>
        <c:noMultiLvlLbl val="0"/>
      </c:catAx>
      <c:valAx>
        <c:axId val="9148860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489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世帯数取得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0</xdr:rowOff>
        </xdr:from>
        <xdr:to>
          <xdr:col>4</xdr:col>
          <xdr:colOff>19050</xdr:colOff>
          <xdr:row>18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将来人口取得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19049</xdr:colOff>
      <xdr:row>7</xdr:row>
      <xdr:rowOff>85725</xdr:rowOff>
    </xdr:from>
    <xdr:to>
      <xdr:col>2</xdr:col>
      <xdr:colOff>371474</xdr:colOff>
      <xdr:row>11</xdr:row>
      <xdr:rowOff>190500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0649" y="1781175"/>
          <a:ext cx="352425" cy="1057275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3</xdr:col>
          <xdr:colOff>914400</xdr:colOff>
          <xdr:row>15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dist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 一括処理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13</xdr:row>
      <xdr:rowOff>0</xdr:rowOff>
    </xdr:from>
    <xdr:to>
      <xdr:col>18</xdr:col>
      <xdr:colOff>0</xdr:colOff>
      <xdr:row>29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B8B2-9E4F-4066-B0F1-875391B8B780}">
  <sheetPr codeName="Sheet1">
    <tabColor rgb="FF00B0F0"/>
  </sheetPr>
  <dimension ref="C1:AJ23"/>
  <sheetViews>
    <sheetView showGridLines="0" showRowColHeaders="0" tabSelected="1" workbookViewId="0">
      <selection activeCell="D6" sqref="D6"/>
    </sheetView>
  </sheetViews>
  <sheetFormatPr defaultRowHeight="18.75" x14ac:dyDescent="0.4"/>
  <cols>
    <col min="1" max="3" width="9" style="8"/>
    <col min="4" max="4" width="12" style="8" customWidth="1"/>
    <col min="5" max="6" width="9" style="8"/>
    <col min="7" max="7" width="9.375" style="8" bestFit="1" customWidth="1"/>
    <col min="8" max="16384" width="9" style="8"/>
  </cols>
  <sheetData>
    <row r="1" spans="3:36" ht="19.5" thickBot="1" x14ac:dyDescent="0.45"/>
    <row r="2" spans="3:36" x14ac:dyDescent="0.4">
      <c r="C2" s="48" t="s">
        <v>95</v>
      </c>
      <c r="D2" s="49"/>
      <c r="E2" s="50"/>
    </row>
    <row r="3" spans="3:36" x14ac:dyDescent="0.4">
      <c r="C3" s="51"/>
      <c r="D3" s="52"/>
      <c r="E3" s="53"/>
      <c r="Z3" s="8">
        <v>0</v>
      </c>
      <c r="AJ3" s="8">
        <v>0</v>
      </c>
    </row>
    <row r="4" spans="3:36" x14ac:dyDescent="0.4">
      <c r="C4" s="10"/>
      <c r="D4" s="11"/>
      <c r="E4" s="12"/>
      <c r="Z4" s="8">
        <v>0</v>
      </c>
      <c r="AJ4" s="8">
        <v>0</v>
      </c>
    </row>
    <row r="5" spans="3:36" ht="19.5" thickBot="1" x14ac:dyDescent="0.45">
      <c r="C5" s="10"/>
      <c r="D5" s="11"/>
      <c r="E5" s="12"/>
      <c r="G5" s="9" t="s">
        <v>58</v>
      </c>
      <c r="H5" s="9"/>
      <c r="I5" s="9"/>
      <c r="J5" s="9"/>
      <c r="K5" s="9"/>
      <c r="L5" s="9"/>
      <c r="Z5" s="8">
        <v>0</v>
      </c>
      <c r="AJ5" s="8">
        <v>0</v>
      </c>
    </row>
    <row r="6" spans="3:36" ht="19.5" thickBot="1" x14ac:dyDescent="0.45">
      <c r="C6" s="10"/>
      <c r="D6" s="16" t="s">
        <v>13</v>
      </c>
      <c r="E6" s="12"/>
      <c r="G6" s="9" t="str">
        <f>_xlfn.XLOOKUP($D$6,参照!$C$2:$C$31,参照!C2:C31)</f>
        <v>新潟市</v>
      </c>
      <c r="H6" s="9" t="str">
        <f>_xlfn.XLOOKUP($D$6,参照!$C$2:$C$31,参照!D2:D31)</f>
        <v>巻町</v>
      </c>
      <c r="I6" s="9">
        <f>_xlfn.XLOOKUP($D$6,参照!$C$2:$C$31,参照!E2:E31)</f>
        <v>0</v>
      </c>
      <c r="J6" s="9">
        <f>_xlfn.XLOOKUP($D$6,参照!$C$2:$C$31,参照!F2:F31)</f>
        <v>0</v>
      </c>
      <c r="K6" s="9">
        <f>_xlfn.XLOOKUP($D$6,参照!$C$2:$C$31,参照!G2:G31)</f>
        <v>0</v>
      </c>
      <c r="L6" s="9">
        <f>_xlfn.XLOOKUP($D$6,参照!$C$2:$C$31,参照!H2:H31)</f>
        <v>0</v>
      </c>
      <c r="M6" s="8">
        <v>0</v>
      </c>
      <c r="Z6" s="8">
        <v>0</v>
      </c>
      <c r="AJ6" s="8">
        <v>0</v>
      </c>
    </row>
    <row r="7" spans="3:36" x14ac:dyDescent="0.4">
      <c r="C7" s="10"/>
      <c r="D7" s="11"/>
      <c r="E7" s="12"/>
      <c r="G7" s="9">
        <f>_xlfn.XLOOKUP($D$6,参照!$C$2:$C$31,参照!J2:J31)</f>
        <v>201</v>
      </c>
      <c r="H7" s="9">
        <f>_xlfn.XLOOKUP($D$6,参照!$C$2:$C$31,参照!K2:K31)</f>
        <v>345</v>
      </c>
      <c r="I7" s="9">
        <f>_xlfn.XLOOKUP($D$6,参照!$C$2:$C$31,参照!L2:L31)</f>
        <v>0</v>
      </c>
      <c r="J7" s="9">
        <f>_xlfn.XLOOKUP($D$6,参照!$C$2:$C$31,参照!M2:M31)</f>
        <v>0</v>
      </c>
      <c r="K7" s="9">
        <f>_xlfn.XLOOKUP($D$6,参照!$C$2:$C$31,参照!N2:N31)</f>
        <v>0</v>
      </c>
      <c r="L7" s="9">
        <f>_xlfn.XLOOKUP($D$6,参照!$C$2:$C$31,参照!O2:O31)</f>
        <v>0</v>
      </c>
      <c r="M7" s="8">
        <v>0</v>
      </c>
      <c r="Z7" s="8">
        <v>0</v>
      </c>
      <c r="AJ7" s="8">
        <v>0</v>
      </c>
    </row>
    <row r="8" spans="3:36" x14ac:dyDescent="0.4">
      <c r="C8" s="44" t="s">
        <v>155</v>
      </c>
      <c r="D8" s="11"/>
      <c r="E8" s="12"/>
      <c r="Z8" s="8">
        <v>0</v>
      </c>
      <c r="AJ8" s="8">
        <v>0</v>
      </c>
    </row>
    <row r="9" spans="3:36" x14ac:dyDescent="0.4">
      <c r="C9" s="10"/>
      <c r="D9" s="11"/>
      <c r="E9" s="12"/>
      <c r="G9" s="9" t="s">
        <v>59</v>
      </c>
      <c r="Z9" s="8">
        <v>0</v>
      </c>
      <c r="AJ9" s="8">
        <v>0</v>
      </c>
    </row>
    <row r="10" spans="3:36" x14ac:dyDescent="0.4">
      <c r="C10" s="44" t="s">
        <v>156</v>
      </c>
      <c r="D10" s="11"/>
      <c r="E10" s="12"/>
      <c r="G10" s="9" t="str">
        <f>_xlfn.XLOOKUP($D$6,参照!$C$2:$C$31,参照!C2:C31)</f>
        <v>新潟市</v>
      </c>
      <c r="Z10" s="8">
        <v>0</v>
      </c>
      <c r="AJ10" s="8">
        <v>0</v>
      </c>
    </row>
    <row r="11" spans="3:36" x14ac:dyDescent="0.4">
      <c r="C11" s="10"/>
      <c r="D11" s="11"/>
      <c r="E11" s="12"/>
      <c r="G11" s="9">
        <f>_xlfn.XLOOKUP($D$6,参照!$C$2:$C$31,参照!I2:I31)</f>
        <v>15100</v>
      </c>
      <c r="Z11" s="8">
        <v>0</v>
      </c>
      <c r="AJ11" s="8">
        <v>0</v>
      </c>
    </row>
    <row r="12" spans="3:36" x14ac:dyDescent="0.4">
      <c r="C12" s="44" t="s">
        <v>157</v>
      </c>
      <c r="D12" s="11"/>
      <c r="E12" s="12"/>
      <c r="Z12" s="8">
        <v>0</v>
      </c>
      <c r="AJ12" s="8">
        <v>0</v>
      </c>
    </row>
    <row r="13" spans="3:36" x14ac:dyDescent="0.4">
      <c r="C13" s="10"/>
      <c r="D13" s="11"/>
      <c r="E13" s="12"/>
      <c r="Z13" s="8">
        <v>0</v>
      </c>
      <c r="AJ13" s="8">
        <v>0</v>
      </c>
    </row>
    <row r="14" spans="3:36" x14ac:dyDescent="0.4">
      <c r="C14" s="10"/>
      <c r="D14" s="11"/>
      <c r="E14" s="12"/>
      <c r="Z14" s="8">
        <v>0</v>
      </c>
      <c r="AJ14" s="8">
        <v>0</v>
      </c>
    </row>
    <row r="15" spans="3:36" x14ac:dyDescent="0.4">
      <c r="C15" s="10"/>
      <c r="D15" s="11"/>
      <c r="E15" s="12"/>
      <c r="Z15" s="8">
        <v>0</v>
      </c>
      <c r="AJ15" s="8">
        <v>0</v>
      </c>
    </row>
    <row r="16" spans="3:36" x14ac:dyDescent="0.4">
      <c r="C16" s="10"/>
      <c r="D16" s="11"/>
      <c r="E16" s="12"/>
      <c r="Z16" s="8">
        <v>0</v>
      </c>
      <c r="AJ16" s="8">
        <v>0</v>
      </c>
    </row>
    <row r="17" spans="3:36" x14ac:dyDescent="0.4">
      <c r="C17" s="10"/>
      <c r="D17" s="11"/>
      <c r="E17" s="12"/>
      <c r="Z17" s="8">
        <v>0</v>
      </c>
      <c r="AJ17" s="8">
        <v>0</v>
      </c>
    </row>
    <row r="18" spans="3:36" x14ac:dyDescent="0.4">
      <c r="C18" s="10"/>
      <c r="D18" s="11"/>
      <c r="E18" s="12"/>
      <c r="Z18" s="8">
        <v>0</v>
      </c>
      <c r="AJ18" s="8">
        <v>0</v>
      </c>
    </row>
    <row r="19" spans="3:36" x14ac:dyDescent="0.4">
      <c r="C19" s="10"/>
      <c r="D19" s="11"/>
      <c r="E19" s="12"/>
    </row>
    <row r="20" spans="3:36" x14ac:dyDescent="0.4">
      <c r="C20" s="10"/>
      <c r="D20" s="11"/>
      <c r="E20" s="12"/>
    </row>
    <row r="21" spans="3:36" x14ac:dyDescent="0.4">
      <c r="C21" s="10"/>
      <c r="D21" s="11"/>
      <c r="E21" s="12"/>
    </row>
    <row r="22" spans="3:36" x14ac:dyDescent="0.4">
      <c r="C22" s="10"/>
      <c r="D22" s="11"/>
      <c r="E22" s="12"/>
    </row>
    <row r="23" spans="3:36" ht="19.5" thickBot="1" x14ac:dyDescent="0.45">
      <c r="C23" s="13"/>
      <c r="D23" s="14"/>
      <c r="E23" s="15"/>
    </row>
  </sheetData>
  <sheetProtection sheet="1" objects="1" scenarios="1" selectLockedCells="1"/>
  <mergeCells count="1">
    <mergeCell ref="C2:E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世帯数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クリア">
                <anchor moveWithCells="1" sizeWithCells="1">
                  <from>
                    <xdr:col>3</xdr:col>
                    <xdr:colOff>19050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人口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Button 31">
              <controlPr defaultSize="0" print="0" autoFill="0" autoPict="0" macro="[0]!終了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Future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9" name="Button 76">
              <controlPr defaultSize="0" print="0" autoFill="0" autoPict="0" macro="[0]!ALL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914400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8B0951-2EAB-4C6D-8155-35CC65EB57BE}">
          <x14:formula1>
            <xm:f>参照!$C$2:$C$31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96FC2-080D-404D-90F7-264F45EB2B36}">
  <sheetPr codeName="Sheet10">
    <tabColor rgb="FFFF0000"/>
  </sheetPr>
  <dimension ref="A1:P11"/>
  <sheetViews>
    <sheetView showGridLines="0" workbookViewId="0"/>
  </sheetViews>
  <sheetFormatPr defaultRowHeight="18.75" x14ac:dyDescent="0.4"/>
  <sheetData>
    <row r="1" spans="1:16" x14ac:dyDescent="0.4">
      <c r="A1" s="5" t="str">
        <f>main!D6</f>
        <v>新潟市</v>
      </c>
      <c r="B1" s="5" t="s">
        <v>142</v>
      </c>
    </row>
    <row r="2" spans="1:16" x14ac:dyDescent="0.4">
      <c r="B2" s="41" t="s">
        <v>143</v>
      </c>
      <c r="C2" s="41" t="s">
        <v>78</v>
      </c>
      <c r="D2" s="41" t="s">
        <v>79</v>
      </c>
      <c r="E2" s="41" t="s">
        <v>80</v>
      </c>
      <c r="F2" s="41" t="s">
        <v>144</v>
      </c>
      <c r="G2" s="41" t="s">
        <v>82</v>
      </c>
      <c r="H2" s="41" t="s">
        <v>145</v>
      </c>
      <c r="I2" s="41" t="s">
        <v>140</v>
      </c>
      <c r="K2" s="41" t="s">
        <v>143</v>
      </c>
      <c r="L2" s="41" t="s">
        <v>78</v>
      </c>
      <c r="M2" s="41" t="s">
        <v>79</v>
      </c>
      <c r="N2" s="41" t="s">
        <v>80</v>
      </c>
      <c r="O2" s="41" t="s">
        <v>144</v>
      </c>
      <c r="P2" s="41" t="s">
        <v>82</v>
      </c>
    </row>
    <row r="3" spans="1:16" x14ac:dyDescent="0.4">
      <c r="A3" s="28" t="s">
        <v>146</v>
      </c>
      <c r="B3" s="42" t="e">
        <f>ROUND('将来世帯数(2)'!B19,0)</f>
        <v>#DIV/0!</v>
      </c>
      <c r="C3" s="42" t="e">
        <f>ROUND('将来世帯数(2)'!C19,0)</f>
        <v>#DIV/0!</v>
      </c>
      <c r="D3" s="42" t="e">
        <f>ROUND('将来世帯数(2)'!D19,0)</f>
        <v>#DIV/0!</v>
      </c>
      <c r="E3" s="42" t="e">
        <f>ROUND('将来世帯数(2)'!E19,0)</f>
        <v>#DIV/0!</v>
      </c>
      <c r="F3" s="42" t="e">
        <f>ROUND('将来世帯数(2)'!F19,0)</f>
        <v>#DIV/0!</v>
      </c>
      <c r="G3" s="42">
        <f>ROUND('将来世帯数(2)'!G19,0)</f>
        <v>0</v>
      </c>
      <c r="H3" s="42" t="e">
        <f t="shared" ref="H3:H11" si="0">SUM(B3:F3)</f>
        <v>#DIV/0!</v>
      </c>
      <c r="I3" s="42" t="e">
        <f t="shared" ref="I3:I11" si="1">SUM(B3:G3)</f>
        <v>#DIV/0!</v>
      </c>
      <c r="K3" s="43" t="e">
        <f>B3/$I3</f>
        <v>#DIV/0!</v>
      </c>
      <c r="L3" s="43" t="e">
        <f t="shared" ref="L3:L11" si="2">C3/$I3</f>
        <v>#DIV/0!</v>
      </c>
      <c r="M3" s="43" t="e">
        <f t="shared" ref="M3:M11" si="3">D3/$I3</f>
        <v>#DIV/0!</v>
      </c>
      <c r="N3" s="43" t="e">
        <f t="shared" ref="N3:N11" si="4">E3/$I3</f>
        <v>#DIV/0!</v>
      </c>
      <c r="O3" s="43" t="e">
        <f t="shared" ref="O3:O11" si="5">F3/$I3</f>
        <v>#DIV/0!</v>
      </c>
      <c r="P3" s="43" t="e">
        <f t="shared" ref="P3:P11" si="6">G3/$I3</f>
        <v>#DIV/0!</v>
      </c>
    </row>
    <row r="4" spans="1:16" x14ac:dyDescent="0.4">
      <c r="A4" s="28" t="s">
        <v>147</v>
      </c>
      <c r="B4" s="42" t="e">
        <f>ROUND('将来世帯数(2)'!B38,0)</f>
        <v>#DIV/0!</v>
      </c>
      <c r="C4" s="42" t="e">
        <f>ROUND('将来世帯数(2)'!C38,0)</f>
        <v>#DIV/0!</v>
      </c>
      <c r="D4" s="42" t="e">
        <f>ROUND('将来世帯数(2)'!D38,0)</f>
        <v>#DIV/0!</v>
      </c>
      <c r="E4" s="42" t="e">
        <f>ROUND('将来世帯数(2)'!E38,0)</f>
        <v>#DIV/0!</v>
      </c>
      <c r="F4" s="42" t="e">
        <f>ROUND('将来世帯数(2)'!F38,0)</f>
        <v>#DIV/0!</v>
      </c>
      <c r="G4" s="42">
        <f>ROUND('将来世帯数(2)'!G38,0)</f>
        <v>0</v>
      </c>
      <c r="H4" s="42" t="e">
        <f t="shared" si="0"/>
        <v>#DIV/0!</v>
      </c>
      <c r="I4" s="42" t="e">
        <f t="shared" si="1"/>
        <v>#DIV/0!</v>
      </c>
      <c r="K4" s="43" t="e">
        <f t="shared" ref="K4:K11" si="7">B4/$I4</f>
        <v>#DIV/0!</v>
      </c>
      <c r="L4" s="43" t="e">
        <f t="shared" si="2"/>
        <v>#DIV/0!</v>
      </c>
      <c r="M4" s="43" t="e">
        <f t="shared" si="3"/>
        <v>#DIV/0!</v>
      </c>
      <c r="N4" s="43" t="e">
        <f t="shared" si="4"/>
        <v>#DIV/0!</v>
      </c>
      <c r="O4" s="43" t="e">
        <f t="shared" si="5"/>
        <v>#DIV/0!</v>
      </c>
      <c r="P4" s="43" t="e">
        <f t="shared" si="6"/>
        <v>#DIV/0!</v>
      </c>
    </row>
    <row r="5" spans="1:16" x14ac:dyDescent="0.4">
      <c r="A5" s="28" t="s">
        <v>148</v>
      </c>
      <c r="B5" s="42" t="e">
        <f>ROUND('将来世帯数(2)'!B57,0)</f>
        <v>#DIV/0!</v>
      </c>
      <c r="C5" s="42" t="e">
        <f>ROUND('将来世帯数(2)'!C57,0)</f>
        <v>#DIV/0!</v>
      </c>
      <c r="D5" s="42" t="e">
        <f>ROUND('将来世帯数(2)'!D57,0)</f>
        <v>#DIV/0!</v>
      </c>
      <c r="E5" s="42" t="e">
        <f>ROUND('将来世帯数(2)'!E57,0)</f>
        <v>#DIV/0!</v>
      </c>
      <c r="F5" s="42" t="e">
        <f>ROUND('将来世帯数(2)'!F57,0)</f>
        <v>#DIV/0!</v>
      </c>
      <c r="G5" s="42">
        <f>ROUND('将来世帯数(2)'!G57,0)</f>
        <v>0</v>
      </c>
      <c r="H5" s="42" t="e">
        <f t="shared" si="0"/>
        <v>#DIV/0!</v>
      </c>
      <c r="I5" s="42" t="e">
        <f t="shared" si="1"/>
        <v>#DIV/0!</v>
      </c>
      <c r="K5" s="43" t="e">
        <f t="shared" si="7"/>
        <v>#DIV/0!</v>
      </c>
      <c r="L5" s="43" t="e">
        <f t="shared" si="2"/>
        <v>#DIV/0!</v>
      </c>
      <c r="M5" s="43" t="e">
        <f t="shared" si="3"/>
        <v>#DIV/0!</v>
      </c>
      <c r="N5" s="43" t="e">
        <f t="shared" si="4"/>
        <v>#DIV/0!</v>
      </c>
      <c r="O5" s="43" t="e">
        <f t="shared" si="5"/>
        <v>#DIV/0!</v>
      </c>
      <c r="P5" s="43" t="e">
        <f t="shared" si="6"/>
        <v>#DIV/0!</v>
      </c>
    </row>
    <row r="6" spans="1:16" x14ac:dyDescent="0.4">
      <c r="A6" s="28" t="s">
        <v>149</v>
      </c>
      <c r="B6" s="42" t="e">
        <f>ROUND('将来世帯数(2)'!L19,0)</f>
        <v>#VALUE!</v>
      </c>
      <c r="C6" s="42" t="e">
        <f>ROUND('将来世帯数(2)'!M19,0)</f>
        <v>#VALUE!</v>
      </c>
      <c r="D6" s="42" t="e">
        <f>ROUND('将来世帯数(2)'!N19,0)</f>
        <v>#VALUE!</v>
      </c>
      <c r="E6" s="42" t="e">
        <f>ROUND('将来世帯数(2)'!O19,0)</f>
        <v>#VALUE!</v>
      </c>
      <c r="F6" s="42" t="e">
        <f>ROUND('将来世帯数(2)'!P19,0)</f>
        <v>#VALUE!</v>
      </c>
      <c r="G6" s="42">
        <f>ROUND('将来世帯数(2)'!Q19,0)</f>
        <v>0</v>
      </c>
      <c r="H6" s="42" t="e">
        <f t="shared" si="0"/>
        <v>#VALUE!</v>
      </c>
      <c r="I6" s="42" t="e">
        <f t="shared" si="1"/>
        <v>#VALUE!</v>
      </c>
      <c r="K6" s="43" t="e">
        <f t="shared" si="7"/>
        <v>#VALUE!</v>
      </c>
      <c r="L6" s="43" t="e">
        <f t="shared" si="2"/>
        <v>#VALUE!</v>
      </c>
      <c r="M6" s="43" t="e">
        <f t="shared" si="3"/>
        <v>#VALUE!</v>
      </c>
      <c r="N6" s="43" t="e">
        <f t="shared" si="4"/>
        <v>#VALUE!</v>
      </c>
      <c r="O6" s="43" t="e">
        <f t="shared" si="5"/>
        <v>#VALUE!</v>
      </c>
      <c r="P6" s="43" t="e">
        <f t="shared" si="6"/>
        <v>#VALUE!</v>
      </c>
    </row>
    <row r="7" spans="1:16" x14ac:dyDescent="0.4">
      <c r="A7" s="28" t="s">
        <v>150</v>
      </c>
      <c r="B7" s="42" t="e">
        <f>ROUND('将来世帯数(2)'!L38,0)</f>
        <v>#VALUE!</v>
      </c>
      <c r="C7" s="42" t="e">
        <f>ROUND('将来世帯数(2)'!M38,0)</f>
        <v>#VALUE!</v>
      </c>
      <c r="D7" s="42" t="e">
        <f>ROUND('将来世帯数(2)'!N38,0)</f>
        <v>#VALUE!</v>
      </c>
      <c r="E7" s="42" t="e">
        <f>ROUND('将来世帯数(2)'!O38,0)</f>
        <v>#VALUE!</v>
      </c>
      <c r="F7" s="42">
        <f>ROUND('将来世帯数(2)'!P38,0)</f>
        <v>0</v>
      </c>
      <c r="G7" s="42">
        <f>ROUND('将来世帯数(2)'!Q38,0)</f>
        <v>0</v>
      </c>
      <c r="H7" s="42" t="e">
        <f t="shared" si="0"/>
        <v>#VALUE!</v>
      </c>
      <c r="I7" s="42" t="e">
        <f t="shared" si="1"/>
        <v>#VALUE!</v>
      </c>
      <c r="K7" s="43" t="e">
        <f t="shared" si="7"/>
        <v>#VALUE!</v>
      </c>
      <c r="L7" s="43" t="e">
        <f t="shared" si="2"/>
        <v>#VALUE!</v>
      </c>
      <c r="M7" s="43" t="e">
        <f t="shared" si="3"/>
        <v>#VALUE!</v>
      </c>
      <c r="N7" s="43" t="e">
        <f t="shared" si="4"/>
        <v>#VALUE!</v>
      </c>
      <c r="O7" s="43" t="e">
        <f t="shared" si="5"/>
        <v>#VALUE!</v>
      </c>
      <c r="P7" s="43" t="e">
        <f t="shared" si="6"/>
        <v>#VALUE!</v>
      </c>
    </row>
    <row r="8" spans="1:16" x14ac:dyDescent="0.4">
      <c r="A8" s="28" t="s">
        <v>151</v>
      </c>
      <c r="B8" s="42" t="e">
        <f>ROUND('将来世帯数(2)'!L57,0)</f>
        <v>#VALUE!</v>
      </c>
      <c r="C8" s="42" t="e">
        <f>ROUND('将来世帯数(2)'!M57,0)</f>
        <v>#VALUE!</v>
      </c>
      <c r="D8" s="42" t="e">
        <f>ROUND('将来世帯数(2)'!N57,0)</f>
        <v>#VALUE!</v>
      </c>
      <c r="E8" s="42" t="e">
        <f>ROUND('将来世帯数(2)'!O57,0)</f>
        <v>#VALUE!</v>
      </c>
      <c r="F8" s="42">
        <f>ROUND('将来世帯数(2)'!P57,0)</f>
        <v>0</v>
      </c>
      <c r="G8" s="42">
        <f>ROUND('将来世帯数(2)'!Q57,0)</f>
        <v>0</v>
      </c>
      <c r="H8" s="42" t="e">
        <f t="shared" si="0"/>
        <v>#VALUE!</v>
      </c>
      <c r="I8" s="42" t="e">
        <f t="shared" si="1"/>
        <v>#VALUE!</v>
      </c>
      <c r="K8" s="43" t="e">
        <f t="shared" si="7"/>
        <v>#VALUE!</v>
      </c>
      <c r="L8" s="43" t="e">
        <f t="shared" si="2"/>
        <v>#VALUE!</v>
      </c>
      <c r="M8" s="43" t="e">
        <f t="shared" si="3"/>
        <v>#VALUE!</v>
      </c>
      <c r="N8" s="43" t="e">
        <f t="shared" si="4"/>
        <v>#VALUE!</v>
      </c>
      <c r="O8" s="43" t="e">
        <f t="shared" si="5"/>
        <v>#VALUE!</v>
      </c>
      <c r="P8" s="43" t="e">
        <f t="shared" si="6"/>
        <v>#VALUE!</v>
      </c>
    </row>
    <row r="9" spans="1:16" x14ac:dyDescent="0.4">
      <c r="A9" s="28" t="s">
        <v>152</v>
      </c>
      <c r="B9" s="42" t="e">
        <f>ROUND('将来世帯数(2)'!L76,0)</f>
        <v>#VALUE!</v>
      </c>
      <c r="C9" s="42" t="e">
        <f>ROUND('将来世帯数(2)'!M76,0)</f>
        <v>#VALUE!</v>
      </c>
      <c r="D9" s="42" t="e">
        <f>ROUND('将来世帯数(2)'!N76,0)</f>
        <v>#VALUE!</v>
      </c>
      <c r="E9" s="42" t="e">
        <f>ROUND('将来世帯数(2)'!O76,0)</f>
        <v>#VALUE!</v>
      </c>
      <c r="F9" s="42">
        <f>ROUND('将来世帯数(2)'!P76,0)</f>
        <v>0</v>
      </c>
      <c r="G9" s="42">
        <f>ROUND('将来世帯数(2)'!Q76,0)</f>
        <v>0</v>
      </c>
      <c r="H9" s="42" t="e">
        <f t="shared" si="0"/>
        <v>#VALUE!</v>
      </c>
      <c r="I9" s="42" t="e">
        <f t="shared" si="1"/>
        <v>#VALUE!</v>
      </c>
      <c r="K9" s="43" t="e">
        <f t="shared" si="7"/>
        <v>#VALUE!</v>
      </c>
      <c r="L9" s="43" t="e">
        <f t="shared" si="2"/>
        <v>#VALUE!</v>
      </c>
      <c r="M9" s="43" t="e">
        <f t="shared" si="3"/>
        <v>#VALUE!</v>
      </c>
      <c r="N9" s="43" t="e">
        <f t="shared" si="4"/>
        <v>#VALUE!</v>
      </c>
      <c r="O9" s="43" t="e">
        <f t="shared" si="5"/>
        <v>#VALUE!</v>
      </c>
      <c r="P9" s="43" t="e">
        <f t="shared" si="6"/>
        <v>#VALUE!</v>
      </c>
    </row>
    <row r="10" spans="1:16" x14ac:dyDescent="0.4">
      <c r="A10" s="28" t="s">
        <v>153</v>
      </c>
      <c r="B10" s="42" t="e">
        <f>ROUND('将来世帯数(2)'!L95,0)</f>
        <v>#VALUE!</v>
      </c>
      <c r="C10" s="42" t="e">
        <f>ROUND('将来世帯数(2)'!M95,0)</f>
        <v>#VALUE!</v>
      </c>
      <c r="D10" s="42" t="e">
        <f>ROUND('将来世帯数(2)'!N95,0)</f>
        <v>#VALUE!</v>
      </c>
      <c r="E10" s="42" t="e">
        <f>ROUND('将来世帯数(2)'!O95,0)</f>
        <v>#VALUE!</v>
      </c>
      <c r="F10" s="42">
        <f>ROUND('将来世帯数(2)'!P95,0)</f>
        <v>0</v>
      </c>
      <c r="G10" s="42">
        <f>ROUND('将来世帯数(2)'!Q95,0)</f>
        <v>0</v>
      </c>
      <c r="H10" s="42" t="e">
        <f t="shared" si="0"/>
        <v>#VALUE!</v>
      </c>
      <c r="I10" s="42" t="e">
        <f t="shared" si="1"/>
        <v>#VALUE!</v>
      </c>
      <c r="K10" s="43" t="e">
        <f t="shared" si="7"/>
        <v>#VALUE!</v>
      </c>
      <c r="L10" s="43" t="e">
        <f t="shared" si="2"/>
        <v>#VALUE!</v>
      </c>
      <c r="M10" s="43" t="e">
        <f t="shared" si="3"/>
        <v>#VALUE!</v>
      </c>
      <c r="N10" s="43" t="e">
        <f t="shared" si="4"/>
        <v>#VALUE!</v>
      </c>
      <c r="O10" s="43" t="e">
        <f t="shared" si="5"/>
        <v>#VALUE!</v>
      </c>
      <c r="P10" s="43" t="e">
        <f t="shared" si="6"/>
        <v>#VALUE!</v>
      </c>
    </row>
    <row r="11" spans="1:16" x14ac:dyDescent="0.4">
      <c r="A11" s="28" t="s">
        <v>154</v>
      </c>
      <c r="B11" s="42" t="e">
        <f>ROUND('将来世帯数(2)'!L114,0)</f>
        <v>#VALUE!</v>
      </c>
      <c r="C11" s="42" t="e">
        <f>ROUND('将来世帯数(2)'!M114,0)</f>
        <v>#VALUE!</v>
      </c>
      <c r="D11" s="42" t="e">
        <f>ROUND('将来世帯数(2)'!N114,0)</f>
        <v>#VALUE!</v>
      </c>
      <c r="E11" s="42" t="e">
        <f>ROUND('将来世帯数(2)'!O114,0)</f>
        <v>#VALUE!</v>
      </c>
      <c r="F11" s="42">
        <f>ROUND('将来世帯数(2)'!P114,0)</f>
        <v>0</v>
      </c>
      <c r="G11" s="42">
        <f>ROUND('将来世帯数(2)'!Q114,0)</f>
        <v>0</v>
      </c>
      <c r="H11" s="42" t="e">
        <f t="shared" si="0"/>
        <v>#VALUE!</v>
      </c>
      <c r="I11" s="42" t="e">
        <f t="shared" si="1"/>
        <v>#VALUE!</v>
      </c>
      <c r="K11" s="43" t="e">
        <f t="shared" si="7"/>
        <v>#VALUE!</v>
      </c>
      <c r="L11" s="43" t="e">
        <f t="shared" si="2"/>
        <v>#VALUE!</v>
      </c>
      <c r="M11" s="43" t="e">
        <f t="shared" si="3"/>
        <v>#VALUE!</v>
      </c>
      <c r="N11" s="43" t="e">
        <f t="shared" si="4"/>
        <v>#VALUE!</v>
      </c>
      <c r="O11" s="43" t="e">
        <f t="shared" si="5"/>
        <v>#VALUE!</v>
      </c>
      <c r="P11" s="43" t="e">
        <f t="shared" si="6"/>
        <v>#VALUE!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F2D5-2C5C-48F3-88C9-E1F72896A77F}">
  <sheetPr codeName="Sheet8"/>
  <dimension ref="A1:Y115"/>
  <sheetViews>
    <sheetView showGridLines="0" workbookViewId="0"/>
  </sheetViews>
  <sheetFormatPr defaultRowHeight="18.75" x14ac:dyDescent="0.4"/>
  <cols>
    <col min="1" max="1" width="9" style="34"/>
    <col min="2" max="9" width="9" style="30"/>
    <col min="11" max="11" width="9" style="5"/>
    <col min="12" max="17" width="9" style="29"/>
    <col min="18" max="18" width="9.5" style="29" bestFit="1" customWidth="1"/>
    <col min="19" max="19" width="9" style="29"/>
    <col min="21" max="25" width="6.625" style="40" customWidth="1"/>
  </cols>
  <sheetData>
    <row r="1" spans="1:25" x14ac:dyDescent="0.4">
      <c r="A1" s="33" t="str">
        <f>世帯数不詳按分!A1</f>
        <v>新潟市</v>
      </c>
    </row>
    <row r="2" spans="1:25" x14ac:dyDescent="0.4">
      <c r="A2" s="46" t="str">
        <f>世帯数不詳按分!A2</f>
        <v>H17(2005)</v>
      </c>
      <c r="B2" s="45" t="str">
        <f>世帯数不詳按分!C2</f>
        <v>単独</v>
      </c>
      <c r="C2" s="45" t="str">
        <f>世帯数不詳按分!D2</f>
        <v>夫婦のみ</v>
      </c>
      <c r="D2" s="45" t="str">
        <f>世帯数不詳按分!E2</f>
        <v>夫婦と子</v>
      </c>
      <c r="E2" s="45" t="str">
        <f>世帯数不詳按分!F2</f>
        <v>ひとり親と子</v>
      </c>
      <c r="F2" s="45" t="str">
        <f>世帯数不詳按分!G2</f>
        <v>その他</v>
      </c>
      <c r="G2" s="45" t="str">
        <f>世帯数不詳按分!H2</f>
        <v>施設等</v>
      </c>
      <c r="H2" s="45" t="str">
        <f>世帯数不詳按分!B2</f>
        <v>一般世帯合計</v>
      </c>
      <c r="I2" s="45" t="s">
        <v>140</v>
      </c>
      <c r="J2" s="2"/>
      <c r="K2" s="35" t="s">
        <v>113</v>
      </c>
      <c r="L2" s="36" t="s">
        <v>137</v>
      </c>
      <c r="M2" s="36" t="s">
        <v>106</v>
      </c>
      <c r="N2" s="36" t="s">
        <v>107</v>
      </c>
      <c r="O2" s="36" t="s">
        <v>108</v>
      </c>
      <c r="P2" s="36" t="s">
        <v>138</v>
      </c>
      <c r="Q2" s="36" t="s">
        <v>139</v>
      </c>
      <c r="R2" s="36" t="s">
        <v>136</v>
      </c>
      <c r="S2" s="36" t="s">
        <v>140</v>
      </c>
      <c r="U2" s="40" t="s">
        <v>137</v>
      </c>
      <c r="V2" s="40" t="s">
        <v>106</v>
      </c>
      <c r="W2" s="40" t="s">
        <v>107</v>
      </c>
      <c r="X2" s="40" t="s">
        <v>108</v>
      </c>
      <c r="Y2" s="40" t="s">
        <v>138</v>
      </c>
    </row>
    <row r="3" spans="1:25" x14ac:dyDescent="0.4">
      <c r="A3" s="45" t="str">
        <f>世帯数不詳按分!A3</f>
        <v>15歳未満</v>
      </c>
      <c r="B3" s="47" t="e">
        <f>世帯数不詳按分!C3</f>
        <v>#DIV/0!</v>
      </c>
      <c r="C3" s="47" t="e">
        <f>世帯数不詳按分!D3</f>
        <v>#DIV/0!</v>
      </c>
      <c r="D3" s="47" t="e">
        <f>世帯数不詳按分!E3</f>
        <v>#DIV/0!</v>
      </c>
      <c r="E3" s="47" t="e">
        <f>世帯数不詳按分!F3</f>
        <v>#DIV/0!</v>
      </c>
      <c r="F3" s="47" t="e">
        <f>世帯数不詳按分!G3</f>
        <v>#DIV/0!</v>
      </c>
      <c r="G3" s="47"/>
      <c r="H3" s="47" t="e">
        <f>世帯数不詳按分!B3</f>
        <v>#DIV/0!</v>
      </c>
      <c r="I3" s="47"/>
      <c r="K3" s="37" t="s">
        <v>133</v>
      </c>
      <c r="L3" s="38"/>
      <c r="M3" s="38"/>
      <c r="N3" s="38"/>
      <c r="O3" s="38"/>
      <c r="P3" s="38"/>
      <c r="Q3" s="38"/>
      <c r="R3" s="38">
        <v>0</v>
      </c>
      <c r="S3" s="38"/>
    </row>
    <row r="4" spans="1:25" x14ac:dyDescent="0.4">
      <c r="A4" s="45" t="str">
        <f>世帯数不詳按分!A4</f>
        <v>15~19</v>
      </c>
      <c r="B4" s="47" t="e">
        <f>世帯数不詳按分!C4</f>
        <v>#DIV/0!</v>
      </c>
      <c r="C4" s="47" t="e">
        <f>世帯数不詳按分!D4</f>
        <v>#DIV/0!</v>
      </c>
      <c r="D4" s="47" t="e">
        <f>世帯数不詳按分!E4</f>
        <v>#DIV/0!</v>
      </c>
      <c r="E4" s="47" t="e">
        <f>世帯数不詳按分!F4</f>
        <v>#DIV/0!</v>
      </c>
      <c r="F4" s="47" t="e">
        <f>世帯数不詳按分!G4</f>
        <v>#DIV/0!</v>
      </c>
      <c r="G4" s="47"/>
      <c r="H4" s="47" t="e">
        <f>世帯数不詳按分!B4</f>
        <v>#DIV/0!</v>
      </c>
      <c r="I4" s="47"/>
      <c r="K4" s="37" t="s">
        <v>119</v>
      </c>
      <c r="L4" s="38" t="e">
        <f>IF(U4&lt;0,0,U4)</f>
        <v>#VALUE!</v>
      </c>
      <c r="M4" s="38" t="e">
        <f t="shared" ref="M4:M18" si="0">IF(V4&lt;0,0,V4)</f>
        <v>#VALUE!</v>
      </c>
      <c r="N4" s="38" t="e">
        <f t="shared" ref="N4:N18" si="1">IF(W4&lt;0,0,W4)</f>
        <v>#VALUE!</v>
      </c>
      <c r="O4" s="38" t="e">
        <f t="shared" ref="O4:O18" si="2">IF(X4&lt;0,0,X4)</f>
        <v>#VALUE!</v>
      </c>
      <c r="P4" s="38" t="e">
        <f t="shared" ref="P4:P18" si="3">IF(Y4&lt;0,0,Y4)</f>
        <v>#VALUE!</v>
      </c>
      <c r="Q4" s="38"/>
      <c r="R4" s="38" t="e">
        <f t="shared" ref="R4:R18" si="4">SUM(L4:P4)</f>
        <v>#VALUE!</v>
      </c>
      <c r="S4" s="38"/>
      <c r="U4" s="40" t="e">
        <f>将来人口!$B3*世帯主率推計!M3</f>
        <v>#VALUE!</v>
      </c>
      <c r="V4" s="40" t="e">
        <f>将来人口!$B3*世帯主率推計!N3</f>
        <v>#VALUE!</v>
      </c>
      <c r="W4" s="40" t="e">
        <f>将来人口!$B3*世帯主率推計!O3</f>
        <v>#VALUE!</v>
      </c>
      <c r="X4" s="40" t="e">
        <f>将来人口!$B3*世帯主率推計!P3</f>
        <v>#VALUE!</v>
      </c>
      <c r="Y4" s="40" t="e">
        <f>将来人口!$B3*世帯主率推計!Q3</f>
        <v>#VALUE!</v>
      </c>
    </row>
    <row r="5" spans="1:25" x14ac:dyDescent="0.4">
      <c r="A5" s="45" t="str">
        <f>世帯数不詳按分!A5</f>
        <v>20~24</v>
      </c>
      <c r="B5" s="47" t="e">
        <f>世帯数不詳按分!C5</f>
        <v>#DIV/0!</v>
      </c>
      <c r="C5" s="47" t="e">
        <f>世帯数不詳按分!D5</f>
        <v>#DIV/0!</v>
      </c>
      <c r="D5" s="47" t="e">
        <f>世帯数不詳按分!E5</f>
        <v>#DIV/0!</v>
      </c>
      <c r="E5" s="47" t="e">
        <f>世帯数不詳按分!F5</f>
        <v>#DIV/0!</v>
      </c>
      <c r="F5" s="47" t="e">
        <f>世帯数不詳按分!G5</f>
        <v>#DIV/0!</v>
      </c>
      <c r="G5" s="47"/>
      <c r="H5" s="47" t="e">
        <f>世帯数不詳按分!B5</f>
        <v>#DIV/0!</v>
      </c>
      <c r="I5" s="47"/>
      <c r="K5" s="37" t="s">
        <v>120</v>
      </c>
      <c r="L5" s="38" t="e">
        <f t="shared" ref="L5:L18" si="5">IF(U5&lt;0,0,U5)</f>
        <v>#VALUE!</v>
      </c>
      <c r="M5" s="38" t="e">
        <f t="shared" si="0"/>
        <v>#VALUE!</v>
      </c>
      <c r="N5" s="38" t="e">
        <f t="shared" si="1"/>
        <v>#VALUE!</v>
      </c>
      <c r="O5" s="38" t="e">
        <f t="shared" si="2"/>
        <v>#VALUE!</v>
      </c>
      <c r="P5" s="38" t="e">
        <f t="shared" si="3"/>
        <v>#VALUE!</v>
      </c>
      <c r="Q5" s="38"/>
      <c r="R5" s="38" t="e">
        <f t="shared" si="4"/>
        <v>#VALUE!</v>
      </c>
      <c r="S5" s="38"/>
      <c r="U5" s="40" t="e">
        <f>将来人口!$B4*世帯主率推計!M4</f>
        <v>#VALUE!</v>
      </c>
      <c r="V5" s="40" t="e">
        <f>将来人口!$B4*世帯主率推計!N4</f>
        <v>#VALUE!</v>
      </c>
      <c r="W5" s="40" t="e">
        <f>将来人口!$B4*世帯主率推計!O4</f>
        <v>#VALUE!</v>
      </c>
      <c r="X5" s="40" t="e">
        <f>将来人口!$B4*世帯主率推計!P4</f>
        <v>#VALUE!</v>
      </c>
      <c r="Y5" s="40" t="e">
        <f>将来人口!$B4*世帯主率推計!Q4</f>
        <v>#VALUE!</v>
      </c>
    </row>
    <row r="6" spans="1:25" x14ac:dyDescent="0.4">
      <c r="A6" s="45" t="str">
        <f>世帯数不詳按分!A6</f>
        <v>25~29</v>
      </c>
      <c r="B6" s="47" t="e">
        <f>世帯数不詳按分!C6</f>
        <v>#DIV/0!</v>
      </c>
      <c r="C6" s="47" t="e">
        <f>世帯数不詳按分!D6</f>
        <v>#DIV/0!</v>
      </c>
      <c r="D6" s="47" t="e">
        <f>世帯数不詳按分!E6</f>
        <v>#DIV/0!</v>
      </c>
      <c r="E6" s="47" t="e">
        <f>世帯数不詳按分!F6</f>
        <v>#DIV/0!</v>
      </c>
      <c r="F6" s="47" t="e">
        <f>世帯数不詳按分!G6</f>
        <v>#DIV/0!</v>
      </c>
      <c r="G6" s="47"/>
      <c r="H6" s="47" t="e">
        <f>世帯数不詳按分!B6</f>
        <v>#DIV/0!</v>
      </c>
      <c r="I6" s="47"/>
      <c r="K6" s="37" t="s">
        <v>121</v>
      </c>
      <c r="L6" s="38" t="e">
        <f t="shared" si="5"/>
        <v>#VALUE!</v>
      </c>
      <c r="M6" s="38" t="e">
        <f t="shared" si="0"/>
        <v>#VALUE!</v>
      </c>
      <c r="N6" s="38" t="e">
        <f t="shared" si="1"/>
        <v>#VALUE!</v>
      </c>
      <c r="O6" s="38" t="e">
        <f t="shared" si="2"/>
        <v>#VALUE!</v>
      </c>
      <c r="P6" s="38" t="e">
        <f t="shared" si="3"/>
        <v>#VALUE!</v>
      </c>
      <c r="Q6" s="38"/>
      <c r="R6" s="38" t="e">
        <f t="shared" si="4"/>
        <v>#VALUE!</v>
      </c>
      <c r="S6" s="38"/>
      <c r="U6" s="40" t="e">
        <f>将来人口!$B5*世帯主率推計!M5</f>
        <v>#VALUE!</v>
      </c>
      <c r="V6" s="40" t="e">
        <f>将来人口!$B5*世帯主率推計!N5</f>
        <v>#VALUE!</v>
      </c>
      <c r="W6" s="40" t="e">
        <f>将来人口!$B5*世帯主率推計!O5</f>
        <v>#VALUE!</v>
      </c>
      <c r="X6" s="40" t="e">
        <f>将来人口!$B5*世帯主率推計!P5</f>
        <v>#VALUE!</v>
      </c>
      <c r="Y6" s="40" t="e">
        <f>将来人口!$B5*世帯主率推計!Q5</f>
        <v>#VALUE!</v>
      </c>
    </row>
    <row r="7" spans="1:25" x14ac:dyDescent="0.4">
      <c r="A7" s="45" t="str">
        <f>世帯数不詳按分!A7</f>
        <v>30~34</v>
      </c>
      <c r="B7" s="47" t="e">
        <f>世帯数不詳按分!C7</f>
        <v>#DIV/0!</v>
      </c>
      <c r="C7" s="47" t="e">
        <f>世帯数不詳按分!D7</f>
        <v>#DIV/0!</v>
      </c>
      <c r="D7" s="47" t="e">
        <f>世帯数不詳按分!E7</f>
        <v>#DIV/0!</v>
      </c>
      <c r="E7" s="47" t="e">
        <f>世帯数不詳按分!F7</f>
        <v>#DIV/0!</v>
      </c>
      <c r="F7" s="47" t="e">
        <f>世帯数不詳按分!G7</f>
        <v>#DIV/0!</v>
      </c>
      <c r="G7" s="47"/>
      <c r="H7" s="47" t="e">
        <f>世帯数不詳按分!B7</f>
        <v>#DIV/0!</v>
      </c>
      <c r="I7" s="47"/>
      <c r="K7" s="37" t="s">
        <v>122</v>
      </c>
      <c r="L7" s="38" t="e">
        <f t="shared" si="5"/>
        <v>#VALUE!</v>
      </c>
      <c r="M7" s="38" t="e">
        <f t="shared" si="0"/>
        <v>#VALUE!</v>
      </c>
      <c r="N7" s="38" t="e">
        <f t="shared" si="1"/>
        <v>#VALUE!</v>
      </c>
      <c r="O7" s="38" t="e">
        <f t="shared" si="2"/>
        <v>#VALUE!</v>
      </c>
      <c r="P7" s="38" t="e">
        <f t="shared" si="3"/>
        <v>#VALUE!</v>
      </c>
      <c r="Q7" s="38"/>
      <c r="R7" s="38" t="e">
        <f t="shared" si="4"/>
        <v>#VALUE!</v>
      </c>
      <c r="S7" s="38"/>
      <c r="U7" s="40" t="e">
        <f>将来人口!$B6*世帯主率推計!M6</f>
        <v>#VALUE!</v>
      </c>
      <c r="V7" s="40" t="e">
        <f>将来人口!$B6*世帯主率推計!N6</f>
        <v>#VALUE!</v>
      </c>
      <c r="W7" s="40" t="e">
        <f>将来人口!$B6*世帯主率推計!O6</f>
        <v>#VALUE!</v>
      </c>
      <c r="X7" s="40" t="e">
        <f>将来人口!$B6*世帯主率推計!P6</f>
        <v>#VALUE!</v>
      </c>
      <c r="Y7" s="40" t="e">
        <f>将来人口!$B6*世帯主率推計!Q6</f>
        <v>#VALUE!</v>
      </c>
    </row>
    <row r="8" spans="1:25" x14ac:dyDescent="0.4">
      <c r="A8" s="45" t="str">
        <f>世帯数不詳按分!A8</f>
        <v>35~39</v>
      </c>
      <c r="B8" s="47" t="e">
        <f>世帯数不詳按分!C8</f>
        <v>#DIV/0!</v>
      </c>
      <c r="C8" s="47" t="e">
        <f>世帯数不詳按分!D8</f>
        <v>#DIV/0!</v>
      </c>
      <c r="D8" s="47" t="e">
        <f>世帯数不詳按分!E8</f>
        <v>#DIV/0!</v>
      </c>
      <c r="E8" s="47" t="e">
        <f>世帯数不詳按分!F8</f>
        <v>#DIV/0!</v>
      </c>
      <c r="F8" s="47" t="e">
        <f>世帯数不詳按分!G8</f>
        <v>#DIV/0!</v>
      </c>
      <c r="G8" s="47"/>
      <c r="H8" s="47" t="e">
        <f>世帯数不詳按分!B8</f>
        <v>#DIV/0!</v>
      </c>
      <c r="I8" s="47"/>
      <c r="K8" s="37" t="s">
        <v>123</v>
      </c>
      <c r="L8" s="38" t="e">
        <f t="shared" si="5"/>
        <v>#VALUE!</v>
      </c>
      <c r="M8" s="38" t="e">
        <f t="shared" si="0"/>
        <v>#VALUE!</v>
      </c>
      <c r="N8" s="38" t="e">
        <f t="shared" si="1"/>
        <v>#VALUE!</v>
      </c>
      <c r="O8" s="38" t="e">
        <f t="shared" si="2"/>
        <v>#VALUE!</v>
      </c>
      <c r="P8" s="38" t="e">
        <f t="shared" si="3"/>
        <v>#VALUE!</v>
      </c>
      <c r="Q8" s="38"/>
      <c r="R8" s="38" t="e">
        <f t="shared" si="4"/>
        <v>#VALUE!</v>
      </c>
      <c r="S8" s="38"/>
      <c r="U8" s="40" t="e">
        <f>将来人口!$B7*世帯主率推計!M7</f>
        <v>#VALUE!</v>
      </c>
      <c r="V8" s="40" t="e">
        <f>将来人口!$B7*世帯主率推計!N7</f>
        <v>#VALUE!</v>
      </c>
      <c r="W8" s="40" t="e">
        <f>将来人口!$B7*世帯主率推計!O7</f>
        <v>#VALUE!</v>
      </c>
      <c r="X8" s="40" t="e">
        <f>将来人口!$B7*世帯主率推計!P7</f>
        <v>#VALUE!</v>
      </c>
      <c r="Y8" s="40" t="e">
        <f>将来人口!$B7*世帯主率推計!Q7</f>
        <v>#VALUE!</v>
      </c>
    </row>
    <row r="9" spans="1:25" x14ac:dyDescent="0.4">
      <c r="A9" s="45" t="str">
        <f>世帯数不詳按分!A9</f>
        <v>40~44</v>
      </c>
      <c r="B9" s="47" t="e">
        <f>世帯数不詳按分!C9</f>
        <v>#DIV/0!</v>
      </c>
      <c r="C9" s="47" t="e">
        <f>世帯数不詳按分!D9</f>
        <v>#DIV/0!</v>
      </c>
      <c r="D9" s="47" t="e">
        <f>世帯数不詳按分!E9</f>
        <v>#DIV/0!</v>
      </c>
      <c r="E9" s="47" t="e">
        <f>世帯数不詳按分!F9</f>
        <v>#DIV/0!</v>
      </c>
      <c r="F9" s="47" t="e">
        <f>世帯数不詳按分!G9</f>
        <v>#DIV/0!</v>
      </c>
      <c r="G9" s="47"/>
      <c r="H9" s="47" t="e">
        <f>世帯数不詳按分!B9</f>
        <v>#DIV/0!</v>
      </c>
      <c r="I9" s="47"/>
      <c r="K9" s="37" t="s">
        <v>124</v>
      </c>
      <c r="L9" s="38" t="e">
        <f t="shared" si="5"/>
        <v>#VALUE!</v>
      </c>
      <c r="M9" s="38" t="e">
        <f t="shared" si="0"/>
        <v>#VALUE!</v>
      </c>
      <c r="N9" s="38" t="e">
        <f t="shared" si="1"/>
        <v>#VALUE!</v>
      </c>
      <c r="O9" s="38" t="e">
        <f t="shared" si="2"/>
        <v>#VALUE!</v>
      </c>
      <c r="P9" s="38" t="e">
        <f t="shared" si="3"/>
        <v>#VALUE!</v>
      </c>
      <c r="Q9" s="38"/>
      <c r="R9" s="38" t="e">
        <f t="shared" si="4"/>
        <v>#VALUE!</v>
      </c>
      <c r="S9" s="38"/>
      <c r="U9" s="40" t="e">
        <f>将来人口!$B8*世帯主率推計!M8</f>
        <v>#VALUE!</v>
      </c>
      <c r="V9" s="40" t="e">
        <f>将来人口!$B8*世帯主率推計!N8</f>
        <v>#VALUE!</v>
      </c>
      <c r="W9" s="40" t="e">
        <f>将来人口!$B8*世帯主率推計!O8</f>
        <v>#VALUE!</v>
      </c>
      <c r="X9" s="40" t="e">
        <f>将来人口!$B8*世帯主率推計!P8</f>
        <v>#VALUE!</v>
      </c>
      <c r="Y9" s="40" t="e">
        <f>将来人口!$B8*世帯主率推計!Q8</f>
        <v>#VALUE!</v>
      </c>
    </row>
    <row r="10" spans="1:25" x14ac:dyDescent="0.4">
      <c r="A10" s="45" t="str">
        <f>世帯数不詳按分!A10</f>
        <v>45~49</v>
      </c>
      <c r="B10" s="47" t="e">
        <f>世帯数不詳按分!C10</f>
        <v>#DIV/0!</v>
      </c>
      <c r="C10" s="47" t="e">
        <f>世帯数不詳按分!D10</f>
        <v>#DIV/0!</v>
      </c>
      <c r="D10" s="47" t="e">
        <f>世帯数不詳按分!E10</f>
        <v>#DIV/0!</v>
      </c>
      <c r="E10" s="47" t="e">
        <f>世帯数不詳按分!F10</f>
        <v>#DIV/0!</v>
      </c>
      <c r="F10" s="47" t="e">
        <f>世帯数不詳按分!G10</f>
        <v>#DIV/0!</v>
      </c>
      <c r="G10" s="47"/>
      <c r="H10" s="47" t="e">
        <f>世帯数不詳按分!B10</f>
        <v>#DIV/0!</v>
      </c>
      <c r="I10" s="47"/>
      <c r="K10" s="37" t="s">
        <v>125</v>
      </c>
      <c r="L10" s="38" t="e">
        <f t="shared" si="5"/>
        <v>#VALUE!</v>
      </c>
      <c r="M10" s="38" t="e">
        <f t="shared" si="0"/>
        <v>#VALUE!</v>
      </c>
      <c r="N10" s="38" t="e">
        <f t="shared" si="1"/>
        <v>#VALUE!</v>
      </c>
      <c r="O10" s="38" t="e">
        <f t="shared" si="2"/>
        <v>#VALUE!</v>
      </c>
      <c r="P10" s="38" t="e">
        <f t="shared" si="3"/>
        <v>#VALUE!</v>
      </c>
      <c r="Q10" s="38"/>
      <c r="R10" s="38" t="e">
        <f t="shared" si="4"/>
        <v>#VALUE!</v>
      </c>
      <c r="S10" s="38"/>
      <c r="U10" s="40" t="e">
        <f>将来人口!$B9*世帯主率推計!M9</f>
        <v>#VALUE!</v>
      </c>
      <c r="V10" s="40" t="e">
        <f>将来人口!$B9*世帯主率推計!N9</f>
        <v>#VALUE!</v>
      </c>
      <c r="W10" s="40" t="e">
        <f>将来人口!$B9*世帯主率推計!O9</f>
        <v>#VALUE!</v>
      </c>
      <c r="X10" s="40" t="e">
        <f>将来人口!$B9*世帯主率推計!P9</f>
        <v>#VALUE!</v>
      </c>
      <c r="Y10" s="40" t="e">
        <f>将来人口!$B9*世帯主率推計!Q9</f>
        <v>#VALUE!</v>
      </c>
    </row>
    <row r="11" spans="1:25" x14ac:dyDescent="0.4">
      <c r="A11" s="45" t="str">
        <f>世帯数不詳按分!A11</f>
        <v>50~54</v>
      </c>
      <c r="B11" s="47" t="e">
        <f>世帯数不詳按分!C11</f>
        <v>#DIV/0!</v>
      </c>
      <c r="C11" s="47" t="e">
        <f>世帯数不詳按分!D11</f>
        <v>#DIV/0!</v>
      </c>
      <c r="D11" s="47" t="e">
        <f>世帯数不詳按分!E11</f>
        <v>#DIV/0!</v>
      </c>
      <c r="E11" s="47" t="e">
        <f>世帯数不詳按分!F11</f>
        <v>#DIV/0!</v>
      </c>
      <c r="F11" s="47" t="e">
        <f>世帯数不詳按分!G11</f>
        <v>#DIV/0!</v>
      </c>
      <c r="G11" s="47"/>
      <c r="H11" s="47" t="e">
        <f>世帯数不詳按分!B11</f>
        <v>#DIV/0!</v>
      </c>
      <c r="I11" s="47"/>
      <c r="K11" s="37" t="s">
        <v>126</v>
      </c>
      <c r="L11" s="38" t="e">
        <f t="shared" si="5"/>
        <v>#VALUE!</v>
      </c>
      <c r="M11" s="38" t="e">
        <f t="shared" si="0"/>
        <v>#VALUE!</v>
      </c>
      <c r="N11" s="38" t="e">
        <f t="shared" si="1"/>
        <v>#VALUE!</v>
      </c>
      <c r="O11" s="38" t="e">
        <f t="shared" si="2"/>
        <v>#VALUE!</v>
      </c>
      <c r="P11" s="38" t="e">
        <f t="shared" si="3"/>
        <v>#VALUE!</v>
      </c>
      <c r="Q11" s="38"/>
      <c r="R11" s="38" t="e">
        <f t="shared" si="4"/>
        <v>#VALUE!</v>
      </c>
      <c r="S11" s="38"/>
      <c r="U11" s="40" t="e">
        <f>将来人口!$B10*世帯主率推計!M10</f>
        <v>#VALUE!</v>
      </c>
      <c r="V11" s="40" t="e">
        <f>将来人口!$B10*世帯主率推計!N10</f>
        <v>#VALUE!</v>
      </c>
      <c r="W11" s="40" t="e">
        <f>将来人口!$B10*世帯主率推計!O10</f>
        <v>#VALUE!</v>
      </c>
      <c r="X11" s="40" t="e">
        <f>将来人口!$B10*世帯主率推計!P10</f>
        <v>#VALUE!</v>
      </c>
      <c r="Y11" s="40" t="e">
        <f>将来人口!$B10*世帯主率推計!Q10</f>
        <v>#VALUE!</v>
      </c>
    </row>
    <row r="12" spans="1:25" x14ac:dyDescent="0.4">
      <c r="A12" s="45" t="str">
        <f>世帯数不詳按分!A12</f>
        <v>55~59</v>
      </c>
      <c r="B12" s="47" t="e">
        <f>世帯数不詳按分!C12</f>
        <v>#DIV/0!</v>
      </c>
      <c r="C12" s="47" t="e">
        <f>世帯数不詳按分!D12</f>
        <v>#DIV/0!</v>
      </c>
      <c r="D12" s="47" t="e">
        <f>世帯数不詳按分!E12</f>
        <v>#DIV/0!</v>
      </c>
      <c r="E12" s="47" t="e">
        <f>世帯数不詳按分!F12</f>
        <v>#DIV/0!</v>
      </c>
      <c r="F12" s="47" t="e">
        <f>世帯数不詳按分!G12</f>
        <v>#DIV/0!</v>
      </c>
      <c r="G12" s="47"/>
      <c r="H12" s="47" t="e">
        <f>世帯数不詳按分!B12</f>
        <v>#DIV/0!</v>
      </c>
      <c r="I12" s="47"/>
      <c r="K12" s="37" t="s">
        <v>127</v>
      </c>
      <c r="L12" s="38" t="e">
        <f t="shared" si="5"/>
        <v>#VALUE!</v>
      </c>
      <c r="M12" s="38" t="e">
        <f t="shared" si="0"/>
        <v>#VALUE!</v>
      </c>
      <c r="N12" s="38" t="e">
        <f t="shared" si="1"/>
        <v>#VALUE!</v>
      </c>
      <c r="O12" s="38" t="e">
        <f t="shared" si="2"/>
        <v>#VALUE!</v>
      </c>
      <c r="P12" s="38" t="e">
        <f t="shared" si="3"/>
        <v>#VALUE!</v>
      </c>
      <c r="Q12" s="38"/>
      <c r="R12" s="38" t="e">
        <f t="shared" si="4"/>
        <v>#VALUE!</v>
      </c>
      <c r="S12" s="38"/>
      <c r="U12" s="40" t="e">
        <f>将来人口!$B11*世帯主率推計!M11</f>
        <v>#VALUE!</v>
      </c>
      <c r="V12" s="40" t="e">
        <f>将来人口!$B11*世帯主率推計!N11</f>
        <v>#VALUE!</v>
      </c>
      <c r="W12" s="40" t="e">
        <f>将来人口!$B11*世帯主率推計!O11</f>
        <v>#VALUE!</v>
      </c>
      <c r="X12" s="40" t="e">
        <f>将来人口!$B11*世帯主率推計!P11</f>
        <v>#VALUE!</v>
      </c>
      <c r="Y12" s="40" t="e">
        <f>将来人口!$B11*世帯主率推計!Q11</f>
        <v>#VALUE!</v>
      </c>
    </row>
    <row r="13" spans="1:25" x14ac:dyDescent="0.4">
      <c r="A13" s="45" t="str">
        <f>世帯数不詳按分!A13</f>
        <v>60~64</v>
      </c>
      <c r="B13" s="47" t="e">
        <f>世帯数不詳按分!C13</f>
        <v>#DIV/0!</v>
      </c>
      <c r="C13" s="47" t="e">
        <f>世帯数不詳按分!D13</f>
        <v>#DIV/0!</v>
      </c>
      <c r="D13" s="47" t="e">
        <f>世帯数不詳按分!E13</f>
        <v>#DIV/0!</v>
      </c>
      <c r="E13" s="47" t="e">
        <f>世帯数不詳按分!F13</f>
        <v>#DIV/0!</v>
      </c>
      <c r="F13" s="47" t="e">
        <f>世帯数不詳按分!G13</f>
        <v>#DIV/0!</v>
      </c>
      <c r="G13" s="47"/>
      <c r="H13" s="47" t="e">
        <f>世帯数不詳按分!B13</f>
        <v>#DIV/0!</v>
      </c>
      <c r="I13" s="47"/>
      <c r="K13" s="37" t="s">
        <v>128</v>
      </c>
      <c r="L13" s="38" t="e">
        <f t="shared" si="5"/>
        <v>#VALUE!</v>
      </c>
      <c r="M13" s="38" t="e">
        <f t="shared" si="0"/>
        <v>#VALUE!</v>
      </c>
      <c r="N13" s="38" t="e">
        <f t="shared" si="1"/>
        <v>#VALUE!</v>
      </c>
      <c r="O13" s="38" t="e">
        <f t="shared" si="2"/>
        <v>#VALUE!</v>
      </c>
      <c r="P13" s="38" t="e">
        <f t="shared" si="3"/>
        <v>#VALUE!</v>
      </c>
      <c r="Q13" s="38"/>
      <c r="R13" s="38" t="e">
        <f t="shared" si="4"/>
        <v>#VALUE!</v>
      </c>
      <c r="S13" s="38"/>
      <c r="U13" s="40" t="e">
        <f>将来人口!$B12*世帯主率推計!M12</f>
        <v>#VALUE!</v>
      </c>
      <c r="V13" s="40" t="e">
        <f>将来人口!$B12*世帯主率推計!N12</f>
        <v>#VALUE!</v>
      </c>
      <c r="W13" s="40" t="e">
        <f>将来人口!$B12*世帯主率推計!O12</f>
        <v>#VALUE!</v>
      </c>
      <c r="X13" s="40" t="e">
        <f>将来人口!$B12*世帯主率推計!P12</f>
        <v>#VALUE!</v>
      </c>
      <c r="Y13" s="40" t="e">
        <f>将来人口!$B12*世帯主率推計!Q12</f>
        <v>#VALUE!</v>
      </c>
    </row>
    <row r="14" spans="1:25" x14ac:dyDescent="0.4">
      <c r="A14" s="45" t="str">
        <f>世帯数不詳按分!A14</f>
        <v>65~69</v>
      </c>
      <c r="B14" s="47" t="e">
        <f>世帯数不詳按分!C14</f>
        <v>#DIV/0!</v>
      </c>
      <c r="C14" s="47" t="e">
        <f>世帯数不詳按分!D14</f>
        <v>#DIV/0!</v>
      </c>
      <c r="D14" s="47" t="e">
        <f>世帯数不詳按分!E14</f>
        <v>#DIV/0!</v>
      </c>
      <c r="E14" s="47" t="e">
        <f>世帯数不詳按分!F14</f>
        <v>#DIV/0!</v>
      </c>
      <c r="F14" s="47" t="e">
        <f>世帯数不詳按分!G14</f>
        <v>#DIV/0!</v>
      </c>
      <c r="G14" s="47"/>
      <c r="H14" s="47" t="e">
        <f>世帯数不詳按分!B14</f>
        <v>#DIV/0!</v>
      </c>
      <c r="I14" s="47"/>
      <c r="K14" s="37" t="s">
        <v>129</v>
      </c>
      <c r="L14" s="38" t="e">
        <f t="shared" si="5"/>
        <v>#VALUE!</v>
      </c>
      <c r="M14" s="38" t="e">
        <f t="shared" si="0"/>
        <v>#VALUE!</v>
      </c>
      <c r="N14" s="38" t="e">
        <f t="shared" si="1"/>
        <v>#VALUE!</v>
      </c>
      <c r="O14" s="38" t="e">
        <f t="shared" si="2"/>
        <v>#VALUE!</v>
      </c>
      <c r="P14" s="38" t="e">
        <f t="shared" si="3"/>
        <v>#VALUE!</v>
      </c>
      <c r="Q14" s="38"/>
      <c r="R14" s="38" t="e">
        <f t="shared" si="4"/>
        <v>#VALUE!</v>
      </c>
      <c r="S14" s="38"/>
      <c r="U14" s="40" t="e">
        <f>将来人口!$B13*世帯主率推計!M13</f>
        <v>#VALUE!</v>
      </c>
      <c r="V14" s="40" t="e">
        <f>将来人口!$B13*世帯主率推計!N13</f>
        <v>#VALUE!</v>
      </c>
      <c r="W14" s="40" t="e">
        <f>将来人口!$B13*世帯主率推計!O13</f>
        <v>#VALUE!</v>
      </c>
      <c r="X14" s="40" t="e">
        <f>将来人口!$B13*世帯主率推計!P13</f>
        <v>#VALUE!</v>
      </c>
      <c r="Y14" s="40" t="e">
        <f>将来人口!$B13*世帯主率推計!Q13</f>
        <v>#VALUE!</v>
      </c>
    </row>
    <row r="15" spans="1:25" x14ac:dyDescent="0.4">
      <c r="A15" s="45" t="str">
        <f>世帯数不詳按分!A15</f>
        <v>70~74</v>
      </c>
      <c r="B15" s="47" t="e">
        <f>世帯数不詳按分!C15</f>
        <v>#DIV/0!</v>
      </c>
      <c r="C15" s="47" t="e">
        <f>世帯数不詳按分!D15</f>
        <v>#DIV/0!</v>
      </c>
      <c r="D15" s="47" t="e">
        <f>世帯数不詳按分!E15</f>
        <v>#DIV/0!</v>
      </c>
      <c r="E15" s="47" t="e">
        <f>世帯数不詳按分!F15</f>
        <v>#DIV/0!</v>
      </c>
      <c r="F15" s="47" t="e">
        <f>世帯数不詳按分!G15</f>
        <v>#DIV/0!</v>
      </c>
      <c r="G15" s="47"/>
      <c r="H15" s="47" t="e">
        <f>世帯数不詳按分!B15</f>
        <v>#DIV/0!</v>
      </c>
      <c r="I15" s="47"/>
      <c r="K15" s="37" t="s">
        <v>130</v>
      </c>
      <c r="L15" s="38" t="e">
        <f t="shared" si="5"/>
        <v>#VALUE!</v>
      </c>
      <c r="M15" s="38" t="e">
        <f t="shared" si="0"/>
        <v>#VALUE!</v>
      </c>
      <c r="N15" s="38" t="e">
        <f t="shared" si="1"/>
        <v>#VALUE!</v>
      </c>
      <c r="O15" s="38" t="e">
        <f t="shared" si="2"/>
        <v>#VALUE!</v>
      </c>
      <c r="P15" s="38" t="e">
        <f t="shared" si="3"/>
        <v>#VALUE!</v>
      </c>
      <c r="Q15" s="38"/>
      <c r="R15" s="38" t="e">
        <f t="shared" si="4"/>
        <v>#VALUE!</v>
      </c>
      <c r="S15" s="38"/>
      <c r="U15" s="40" t="e">
        <f>将来人口!$B14*世帯主率推計!M14</f>
        <v>#VALUE!</v>
      </c>
      <c r="V15" s="40" t="e">
        <f>将来人口!$B14*世帯主率推計!N14</f>
        <v>#VALUE!</v>
      </c>
      <c r="W15" s="40" t="e">
        <f>将来人口!$B14*世帯主率推計!O14</f>
        <v>#VALUE!</v>
      </c>
      <c r="X15" s="40" t="e">
        <f>将来人口!$B14*世帯主率推計!P14</f>
        <v>#VALUE!</v>
      </c>
      <c r="Y15" s="40" t="e">
        <f>将来人口!$B14*世帯主率推計!Q14</f>
        <v>#VALUE!</v>
      </c>
    </row>
    <row r="16" spans="1:25" x14ac:dyDescent="0.4">
      <c r="A16" s="45" t="str">
        <f>世帯数不詳按分!A16</f>
        <v>75~79</v>
      </c>
      <c r="B16" s="47" t="e">
        <f>世帯数不詳按分!C16</f>
        <v>#DIV/0!</v>
      </c>
      <c r="C16" s="47" t="e">
        <f>世帯数不詳按分!D16</f>
        <v>#DIV/0!</v>
      </c>
      <c r="D16" s="47" t="e">
        <f>世帯数不詳按分!E16</f>
        <v>#DIV/0!</v>
      </c>
      <c r="E16" s="47" t="e">
        <f>世帯数不詳按分!F16</f>
        <v>#DIV/0!</v>
      </c>
      <c r="F16" s="47" t="e">
        <f>世帯数不詳按分!G16</f>
        <v>#DIV/0!</v>
      </c>
      <c r="G16" s="47"/>
      <c r="H16" s="47" t="e">
        <f>世帯数不詳按分!B16</f>
        <v>#DIV/0!</v>
      </c>
      <c r="I16" s="47"/>
      <c r="K16" s="37" t="s">
        <v>131</v>
      </c>
      <c r="L16" s="38" t="e">
        <f t="shared" si="5"/>
        <v>#VALUE!</v>
      </c>
      <c r="M16" s="38" t="e">
        <f t="shared" si="0"/>
        <v>#VALUE!</v>
      </c>
      <c r="N16" s="38" t="e">
        <f t="shared" si="1"/>
        <v>#VALUE!</v>
      </c>
      <c r="O16" s="38" t="e">
        <f t="shared" si="2"/>
        <v>#VALUE!</v>
      </c>
      <c r="P16" s="38" t="e">
        <f t="shared" si="3"/>
        <v>#VALUE!</v>
      </c>
      <c r="Q16" s="38"/>
      <c r="R16" s="38" t="e">
        <f t="shared" si="4"/>
        <v>#VALUE!</v>
      </c>
      <c r="S16" s="38"/>
      <c r="U16" s="40" t="e">
        <f>将来人口!$B15*世帯主率推計!M15</f>
        <v>#VALUE!</v>
      </c>
      <c r="V16" s="40" t="e">
        <f>将来人口!$B15*世帯主率推計!N15</f>
        <v>#VALUE!</v>
      </c>
      <c r="W16" s="40" t="e">
        <f>将来人口!$B15*世帯主率推計!O15</f>
        <v>#VALUE!</v>
      </c>
      <c r="X16" s="40" t="e">
        <f>将来人口!$B15*世帯主率推計!P15</f>
        <v>#VALUE!</v>
      </c>
      <c r="Y16" s="40" t="e">
        <f>将来人口!$B15*世帯主率推計!Q15</f>
        <v>#VALUE!</v>
      </c>
    </row>
    <row r="17" spans="1:25" x14ac:dyDescent="0.4">
      <c r="A17" s="45" t="str">
        <f>世帯数不詳按分!A17</f>
        <v>80~84</v>
      </c>
      <c r="B17" s="47" t="e">
        <f>世帯数不詳按分!C17</f>
        <v>#DIV/0!</v>
      </c>
      <c r="C17" s="47" t="e">
        <f>世帯数不詳按分!D17</f>
        <v>#DIV/0!</v>
      </c>
      <c r="D17" s="47" t="e">
        <f>世帯数不詳按分!E17</f>
        <v>#DIV/0!</v>
      </c>
      <c r="E17" s="47" t="e">
        <f>世帯数不詳按分!F17</f>
        <v>#DIV/0!</v>
      </c>
      <c r="F17" s="47" t="e">
        <f>世帯数不詳按分!G17</f>
        <v>#DIV/0!</v>
      </c>
      <c r="G17" s="47"/>
      <c r="H17" s="47" t="e">
        <f>世帯数不詳按分!B17</f>
        <v>#DIV/0!</v>
      </c>
      <c r="I17" s="47"/>
      <c r="K17" s="37" t="s">
        <v>132</v>
      </c>
      <c r="L17" s="38" t="e">
        <f t="shared" si="5"/>
        <v>#VALUE!</v>
      </c>
      <c r="M17" s="38" t="e">
        <f t="shared" si="0"/>
        <v>#VALUE!</v>
      </c>
      <c r="N17" s="38" t="e">
        <f t="shared" si="1"/>
        <v>#VALUE!</v>
      </c>
      <c r="O17" s="38" t="e">
        <f t="shared" si="2"/>
        <v>#VALUE!</v>
      </c>
      <c r="P17" s="38" t="e">
        <f t="shared" si="3"/>
        <v>#VALUE!</v>
      </c>
      <c r="Q17" s="38"/>
      <c r="R17" s="38" t="e">
        <f t="shared" si="4"/>
        <v>#VALUE!</v>
      </c>
      <c r="S17" s="38"/>
      <c r="U17" s="40" t="e">
        <f>将来人口!$B16*世帯主率推計!M16</f>
        <v>#VALUE!</v>
      </c>
      <c r="V17" s="40" t="e">
        <f>将来人口!$B16*世帯主率推計!N16</f>
        <v>#VALUE!</v>
      </c>
      <c r="W17" s="40" t="e">
        <f>将来人口!$B16*世帯主率推計!O16</f>
        <v>#VALUE!</v>
      </c>
      <c r="X17" s="40" t="e">
        <f>将来人口!$B16*世帯主率推計!P16</f>
        <v>#VALUE!</v>
      </c>
      <c r="Y17" s="40" t="e">
        <f>将来人口!$B16*世帯主率推計!Q16</f>
        <v>#VALUE!</v>
      </c>
    </row>
    <row r="18" spans="1:25" x14ac:dyDescent="0.4">
      <c r="A18" s="45" t="str">
        <f>世帯数不詳按分!A18</f>
        <v>85歳以上</v>
      </c>
      <c r="B18" s="47" t="e">
        <f>世帯数不詳按分!C18</f>
        <v>#DIV/0!</v>
      </c>
      <c r="C18" s="47" t="e">
        <f>世帯数不詳按分!D18</f>
        <v>#DIV/0!</v>
      </c>
      <c r="D18" s="47" t="e">
        <f>世帯数不詳按分!E18</f>
        <v>#DIV/0!</v>
      </c>
      <c r="E18" s="47" t="e">
        <f>世帯数不詳按分!F18</f>
        <v>#DIV/0!</v>
      </c>
      <c r="F18" s="47" t="e">
        <f>世帯数不詳按分!G18</f>
        <v>#DIV/0!</v>
      </c>
      <c r="G18" s="47"/>
      <c r="H18" s="47" t="e">
        <f>世帯数不詳按分!B18</f>
        <v>#DIV/0!</v>
      </c>
      <c r="I18" s="47"/>
      <c r="K18" s="37" t="s">
        <v>134</v>
      </c>
      <c r="L18" s="38" t="e">
        <f t="shared" si="5"/>
        <v>#VALUE!</v>
      </c>
      <c r="M18" s="38" t="e">
        <f t="shared" si="0"/>
        <v>#VALUE!</v>
      </c>
      <c r="N18" s="38" t="e">
        <f t="shared" si="1"/>
        <v>#VALUE!</v>
      </c>
      <c r="O18" s="38" t="e">
        <f t="shared" si="2"/>
        <v>#VALUE!</v>
      </c>
      <c r="P18" s="38" t="e">
        <f t="shared" si="3"/>
        <v>#VALUE!</v>
      </c>
      <c r="Q18" s="38"/>
      <c r="R18" s="38" t="e">
        <f t="shared" si="4"/>
        <v>#VALUE!</v>
      </c>
      <c r="S18" s="38"/>
      <c r="U18" s="40" t="e">
        <f>将来人口!$B17*世帯主率推計!M17</f>
        <v>#VALUE!</v>
      </c>
      <c r="V18" s="40" t="e">
        <f>将来人口!$B17*世帯主率推計!N17</f>
        <v>#VALUE!</v>
      </c>
      <c r="W18" s="40" t="e">
        <f>将来人口!$B17*世帯主率推計!O17</f>
        <v>#VALUE!</v>
      </c>
      <c r="X18" s="40" t="e">
        <f>将来人口!$B17*世帯主率推計!P17</f>
        <v>#VALUE!</v>
      </c>
      <c r="Y18" s="40" t="e">
        <f>将来人口!$B17*世帯主率推計!Q17</f>
        <v>#VALUE!</v>
      </c>
    </row>
    <row r="19" spans="1:25" x14ac:dyDescent="0.4">
      <c r="A19" s="45" t="str">
        <f>世帯数不詳按分!A20</f>
        <v>合計</v>
      </c>
      <c r="B19" s="45" t="e">
        <f>世帯数不詳按分!C20</f>
        <v>#DIV/0!</v>
      </c>
      <c r="C19" s="45" t="e">
        <f>世帯数不詳按分!D20</f>
        <v>#DIV/0!</v>
      </c>
      <c r="D19" s="45" t="e">
        <f>世帯数不詳按分!E20</f>
        <v>#DIV/0!</v>
      </c>
      <c r="E19" s="45" t="e">
        <f>世帯数不詳按分!F20</f>
        <v>#DIV/0!</v>
      </c>
      <c r="F19" s="45" t="e">
        <f>世帯数不詳按分!G20</f>
        <v>#DIV/0!</v>
      </c>
      <c r="G19" s="45">
        <f>世帯数不詳按分!H20</f>
        <v>0</v>
      </c>
      <c r="H19" s="45" t="e">
        <f>世帯数不詳按分!B20</f>
        <v>#DIV/0!</v>
      </c>
      <c r="I19" s="45" t="e">
        <f>SUM(G19:H19)</f>
        <v>#DIV/0!</v>
      </c>
      <c r="K19" s="37" t="s">
        <v>135</v>
      </c>
      <c r="L19" s="39" t="e">
        <f t="shared" ref="L19:P19" si="6">SUM(L3:L18)</f>
        <v>#VALUE!</v>
      </c>
      <c r="M19" s="39" t="e">
        <f t="shared" si="6"/>
        <v>#VALUE!</v>
      </c>
      <c r="N19" s="39" t="e">
        <f t="shared" si="6"/>
        <v>#VALUE!</v>
      </c>
      <c r="O19" s="39" t="e">
        <f t="shared" si="6"/>
        <v>#VALUE!</v>
      </c>
      <c r="P19" s="39" t="e">
        <f t="shared" si="6"/>
        <v>#VALUE!</v>
      </c>
      <c r="Q19" s="39">
        <f>G57</f>
        <v>0</v>
      </c>
      <c r="R19" s="39" t="e">
        <f>SUM(R3:R18)</f>
        <v>#VALUE!</v>
      </c>
      <c r="S19" s="39" t="e">
        <f>SUM(L19:Q19)</f>
        <v>#VALUE!</v>
      </c>
    </row>
    <row r="20" spans="1:25" x14ac:dyDescent="0.4">
      <c r="A20" s="30"/>
      <c r="K20" s="54" t="str">
        <f>IF(COUNTIF(U4:Y18,"&lt;0")&lt;&gt;0,"※推計がマイナスとなる場合は0とした","")</f>
        <v/>
      </c>
      <c r="L20" s="54"/>
      <c r="M20" s="54"/>
      <c r="N20" s="54"/>
    </row>
    <row r="21" spans="1:25" x14ac:dyDescent="0.4">
      <c r="A21" s="46" t="str">
        <f>世帯数不詳按分!A22</f>
        <v>H22(2010)</v>
      </c>
      <c r="B21" s="45" t="str">
        <f>世帯数不詳按分!C22</f>
        <v>単独</v>
      </c>
      <c r="C21" s="45" t="str">
        <f>世帯数不詳按分!D22</f>
        <v>夫婦のみ</v>
      </c>
      <c r="D21" s="45" t="str">
        <f>世帯数不詳按分!E22</f>
        <v>夫婦と子</v>
      </c>
      <c r="E21" s="45" t="str">
        <f>世帯数不詳按分!F22</f>
        <v>ひとり親と子</v>
      </c>
      <c r="F21" s="45" t="str">
        <f>世帯数不詳按分!G22</f>
        <v>その他</v>
      </c>
      <c r="G21" s="45" t="str">
        <f>世帯数不詳按分!H22</f>
        <v>施設等</v>
      </c>
      <c r="H21" s="45" t="str">
        <f>世帯数不詳按分!B22</f>
        <v>一般世帯合計</v>
      </c>
      <c r="I21" s="45" t="s">
        <v>140</v>
      </c>
      <c r="K21" s="35" t="s">
        <v>114</v>
      </c>
      <c r="L21" s="36" t="s">
        <v>137</v>
      </c>
      <c r="M21" s="36" t="s">
        <v>106</v>
      </c>
      <c r="N21" s="36" t="s">
        <v>107</v>
      </c>
      <c r="O21" s="36" t="s">
        <v>108</v>
      </c>
      <c r="P21" s="36" t="s">
        <v>138</v>
      </c>
      <c r="Q21" s="36" t="s">
        <v>139</v>
      </c>
      <c r="R21" s="36" t="s">
        <v>136</v>
      </c>
      <c r="S21" s="36" t="s">
        <v>140</v>
      </c>
    </row>
    <row r="22" spans="1:25" x14ac:dyDescent="0.4">
      <c r="A22" s="45" t="str">
        <f>世帯数不詳按分!A23</f>
        <v>15歳未満</v>
      </c>
      <c r="B22" s="47" t="e">
        <f>世帯数不詳按分!C23</f>
        <v>#DIV/0!</v>
      </c>
      <c r="C22" s="47" t="e">
        <f>世帯数不詳按分!D23</f>
        <v>#DIV/0!</v>
      </c>
      <c r="D22" s="47" t="e">
        <f>世帯数不詳按分!E23</f>
        <v>#DIV/0!</v>
      </c>
      <c r="E22" s="47" t="e">
        <f>世帯数不詳按分!F23</f>
        <v>#DIV/0!</v>
      </c>
      <c r="F22" s="47" t="e">
        <f>世帯数不詳按分!G23</f>
        <v>#DIV/0!</v>
      </c>
      <c r="G22" s="47"/>
      <c r="H22" s="47" t="e">
        <f>世帯数不詳按分!B23</f>
        <v>#DIV/0!</v>
      </c>
      <c r="I22" s="47"/>
      <c r="J22" s="2"/>
      <c r="K22" s="37" t="s">
        <v>133</v>
      </c>
      <c r="L22" s="38"/>
      <c r="M22" s="38"/>
      <c r="N22" s="38"/>
      <c r="O22" s="38"/>
      <c r="P22" s="38"/>
      <c r="Q22" s="38"/>
      <c r="R22" s="38">
        <v>0</v>
      </c>
      <c r="S22" s="38"/>
    </row>
    <row r="23" spans="1:25" x14ac:dyDescent="0.4">
      <c r="A23" s="45" t="str">
        <f>世帯数不詳按分!A24</f>
        <v>15~19</v>
      </c>
      <c r="B23" s="47" t="e">
        <f>世帯数不詳按分!C24</f>
        <v>#DIV/0!</v>
      </c>
      <c r="C23" s="47" t="e">
        <f>世帯数不詳按分!D24</f>
        <v>#DIV/0!</v>
      </c>
      <c r="D23" s="47" t="e">
        <f>世帯数不詳按分!E24</f>
        <v>#DIV/0!</v>
      </c>
      <c r="E23" s="47" t="e">
        <f>世帯数不詳按分!F24</f>
        <v>#DIV/0!</v>
      </c>
      <c r="F23" s="47" t="e">
        <f>世帯数不詳按分!G24</f>
        <v>#DIV/0!</v>
      </c>
      <c r="G23" s="47"/>
      <c r="H23" s="47" t="e">
        <f>世帯数不詳按分!B24</f>
        <v>#DIV/0!</v>
      </c>
      <c r="I23" s="47"/>
      <c r="K23" s="37" t="s">
        <v>119</v>
      </c>
      <c r="L23" s="38" t="e">
        <f>IF(U23&lt;0,0,U23)</f>
        <v>#VALUE!</v>
      </c>
      <c r="M23" s="38" t="e">
        <f t="shared" ref="M23:M37" si="7">IF(V23&lt;0,0,V23)</f>
        <v>#VALUE!</v>
      </c>
      <c r="N23" s="38" t="e">
        <f t="shared" ref="N23:N37" si="8">IF(W23&lt;0,0,W23)</f>
        <v>#VALUE!</v>
      </c>
      <c r="O23" s="38" t="e">
        <f t="shared" ref="O23:O37" si="9">IF(X23&lt;0,0,X23)</f>
        <v>#VALUE!</v>
      </c>
      <c r="P23" s="38">
        <f t="shared" ref="P23:P37" si="10">IF(Y23&lt;0,0,Y23)</f>
        <v>0</v>
      </c>
      <c r="Q23" s="38"/>
      <c r="R23" s="38" t="e">
        <f t="shared" ref="R23:R37" si="11">SUM(L23:P23)</f>
        <v>#VALUE!</v>
      </c>
      <c r="S23" s="38"/>
      <c r="U23" s="40" t="e">
        <f>将来人口!$C3*世帯主率推計!M20</f>
        <v>#VALUE!</v>
      </c>
      <c r="V23" s="40" t="e">
        <f>将来人口!$C3*世帯主率推計!N20</f>
        <v>#VALUE!</v>
      </c>
      <c r="W23" s="40" t="e">
        <f>将来人口!$C3*世帯主率推計!O20</f>
        <v>#VALUE!</v>
      </c>
      <c r="X23" s="40" t="e">
        <f>将来人口!$C3*世帯主率推計!P20</f>
        <v>#VALUE!</v>
      </c>
      <c r="Y23" s="40">
        <f>将来人口!$C3*世帯主率推計!Q20</f>
        <v>0</v>
      </c>
    </row>
    <row r="24" spans="1:25" x14ac:dyDescent="0.4">
      <c r="A24" s="45" t="str">
        <f>世帯数不詳按分!A25</f>
        <v>20~24</v>
      </c>
      <c r="B24" s="47" t="e">
        <f>世帯数不詳按分!C25</f>
        <v>#DIV/0!</v>
      </c>
      <c r="C24" s="47" t="e">
        <f>世帯数不詳按分!D25</f>
        <v>#DIV/0!</v>
      </c>
      <c r="D24" s="47" t="e">
        <f>世帯数不詳按分!E25</f>
        <v>#DIV/0!</v>
      </c>
      <c r="E24" s="47" t="e">
        <f>世帯数不詳按分!F25</f>
        <v>#DIV/0!</v>
      </c>
      <c r="F24" s="47" t="e">
        <f>世帯数不詳按分!G25</f>
        <v>#DIV/0!</v>
      </c>
      <c r="G24" s="47"/>
      <c r="H24" s="47" t="e">
        <f>世帯数不詳按分!B25</f>
        <v>#DIV/0!</v>
      </c>
      <c r="I24" s="47"/>
      <c r="K24" s="37" t="s">
        <v>120</v>
      </c>
      <c r="L24" s="38" t="e">
        <f t="shared" ref="L24:L37" si="12">IF(U24&lt;0,0,U24)</f>
        <v>#VALUE!</v>
      </c>
      <c r="M24" s="38" t="e">
        <f t="shared" si="7"/>
        <v>#VALUE!</v>
      </c>
      <c r="N24" s="38" t="e">
        <f t="shared" si="8"/>
        <v>#VALUE!</v>
      </c>
      <c r="O24" s="38" t="e">
        <f t="shared" si="9"/>
        <v>#VALUE!</v>
      </c>
      <c r="P24" s="38">
        <f t="shared" si="10"/>
        <v>0</v>
      </c>
      <c r="Q24" s="38"/>
      <c r="R24" s="38" t="e">
        <f t="shared" si="11"/>
        <v>#VALUE!</v>
      </c>
      <c r="S24" s="38"/>
      <c r="U24" s="40" t="e">
        <f>将来人口!$C4*世帯主率推計!M21</f>
        <v>#VALUE!</v>
      </c>
      <c r="V24" s="40" t="e">
        <f>将来人口!$C4*世帯主率推計!N21</f>
        <v>#VALUE!</v>
      </c>
      <c r="W24" s="40" t="e">
        <f>将来人口!$C4*世帯主率推計!O21</f>
        <v>#VALUE!</v>
      </c>
      <c r="X24" s="40" t="e">
        <f>将来人口!$C4*世帯主率推計!P21</f>
        <v>#VALUE!</v>
      </c>
      <c r="Y24" s="40">
        <f>将来人口!$C4*世帯主率推計!Q21</f>
        <v>0</v>
      </c>
    </row>
    <row r="25" spans="1:25" x14ac:dyDescent="0.4">
      <c r="A25" s="45" t="str">
        <f>世帯数不詳按分!A26</f>
        <v>25~29</v>
      </c>
      <c r="B25" s="47" t="e">
        <f>世帯数不詳按分!C26</f>
        <v>#DIV/0!</v>
      </c>
      <c r="C25" s="47" t="e">
        <f>世帯数不詳按分!D26</f>
        <v>#DIV/0!</v>
      </c>
      <c r="D25" s="47" t="e">
        <f>世帯数不詳按分!E26</f>
        <v>#DIV/0!</v>
      </c>
      <c r="E25" s="47" t="e">
        <f>世帯数不詳按分!F26</f>
        <v>#DIV/0!</v>
      </c>
      <c r="F25" s="47" t="e">
        <f>世帯数不詳按分!G26</f>
        <v>#DIV/0!</v>
      </c>
      <c r="G25" s="47"/>
      <c r="H25" s="47" t="e">
        <f>世帯数不詳按分!B26</f>
        <v>#DIV/0!</v>
      </c>
      <c r="I25" s="47"/>
      <c r="K25" s="37" t="s">
        <v>121</v>
      </c>
      <c r="L25" s="38" t="e">
        <f t="shared" si="12"/>
        <v>#VALUE!</v>
      </c>
      <c r="M25" s="38" t="e">
        <f t="shared" si="7"/>
        <v>#VALUE!</v>
      </c>
      <c r="N25" s="38" t="e">
        <f t="shared" si="8"/>
        <v>#VALUE!</v>
      </c>
      <c r="O25" s="38" t="e">
        <f t="shared" si="9"/>
        <v>#VALUE!</v>
      </c>
      <c r="P25" s="38">
        <f t="shared" si="10"/>
        <v>0</v>
      </c>
      <c r="Q25" s="38"/>
      <c r="R25" s="38" t="e">
        <f t="shared" si="11"/>
        <v>#VALUE!</v>
      </c>
      <c r="S25" s="38"/>
      <c r="U25" s="40" t="e">
        <f>将来人口!$C5*世帯主率推計!M22</f>
        <v>#VALUE!</v>
      </c>
      <c r="V25" s="40" t="e">
        <f>将来人口!$C5*世帯主率推計!N22</f>
        <v>#VALUE!</v>
      </c>
      <c r="W25" s="40" t="e">
        <f>将来人口!$C5*世帯主率推計!O22</f>
        <v>#VALUE!</v>
      </c>
      <c r="X25" s="40" t="e">
        <f>将来人口!$C5*世帯主率推計!P22</f>
        <v>#VALUE!</v>
      </c>
      <c r="Y25" s="40">
        <f>将来人口!$C5*世帯主率推計!Q22</f>
        <v>0</v>
      </c>
    </row>
    <row r="26" spans="1:25" x14ac:dyDescent="0.4">
      <c r="A26" s="45" t="str">
        <f>世帯数不詳按分!A27</f>
        <v>30~34</v>
      </c>
      <c r="B26" s="47" t="e">
        <f>世帯数不詳按分!C27</f>
        <v>#DIV/0!</v>
      </c>
      <c r="C26" s="47" t="e">
        <f>世帯数不詳按分!D27</f>
        <v>#DIV/0!</v>
      </c>
      <c r="D26" s="47" t="e">
        <f>世帯数不詳按分!E27</f>
        <v>#DIV/0!</v>
      </c>
      <c r="E26" s="47" t="e">
        <f>世帯数不詳按分!F27</f>
        <v>#DIV/0!</v>
      </c>
      <c r="F26" s="47" t="e">
        <f>世帯数不詳按分!G27</f>
        <v>#DIV/0!</v>
      </c>
      <c r="G26" s="47"/>
      <c r="H26" s="47" t="e">
        <f>世帯数不詳按分!B27</f>
        <v>#DIV/0!</v>
      </c>
      <c r="I26" s="47"/>
      <c r="K26" s="37" t="s">
        <v>122</v>
      </c>
      <c r="L26" s="38" t="e">
        <f t="shared" si="12"/>
        <v>#VALUE!</v>
      </c>
      <c r="M26" s="38" t="e">
        <f t="shared" si="7"/>
        <v>#VALUE!</v>
      </c>
      <c r="N26" s="38" t="e">
        <f t="shared" si="8"/>
        <v>#VALUE!</v>
      </c>
      <c r="O26" s="38" t="e">
        <f t="shared" si="9"/>
        <v>#VALUE!</v>
      </c>
      <c r="P26" s="38">
        <f t="shared" si="10"/>
        <v>0</v>
      </c>
      <c r="Q26" s="38"/>
      <c r="R26" s="38" t="e">
        <f t="shared" si="11"/>
        <v>#VALUE!</v>
      </c>
      <c r="S26" s="38"/>
      <c r="U26" s="40" t="e">
        <f>将来人口!$C6*世帯主率推計!M23</f>
        <v>#VALUE!</v>
      </c>
      <c r="V26" s="40" t="e">
        <f>将来人口!$C6*世帯主率推計!N23</f>
        <v>#VALUE!</v>
      </c>
      <c r="W26" s="40" t="e">
        <f>将来人口!$C6*世帯主率推計!O23</f>
        <v>#VALUE!</v>
      </c>
      <c r="X26" s="40" t="e">
        <f>将来人口!$C6*世帯主率推計!P23</f>
        <v>#VALUE!</v>
      </c>
      <c r="Y26" s="40">
        <f>将来人口!$C6*世帯主率推計!Q23</f>
        <v>0</v>
      </c>
    </row>
    <row r="27" spans="1:25" x14ac:dyDescent="0.4">
      <c r="A27" s="45" t="str">
        <f>世帯数不詳按分!A28</f>
        <v>35~39</v>
      </c>
      <c r="B27" s="47" t="e">
        <f>世帯数不詳按分!C28</f>
        <v>#DIV/0!</v>
      </c>
      <c r="C27" s="47" t="e">
        <f>世帯数不詳按分!D28</f>
        <v>#DIV/0!</v>
      </c>
      <c r="D27" s="47" t="e">
        <f>世帯数不詳按分!E28</f>
        <v>#DIV/0!</v>
      </c>
      <c r="E27" s="47" t="e">
        <f>世帯数不詳按分!F28</f>
        <v>#DIV/0!</v>
      </c>
      <c r="F27" s="47" t="e">
        <f>世帯数不詳按分!G28</f>
        <v>#DIV/0!</v>
      </c>
      <c r="G27" s="47"/>
      <c r="H27" s="47" t="e">
        <f>世帯数不詳按分!B28</f>
        <v>#DIV/0!</v>
      </c>
      <c r="I27" s="47"/>
      <c r="K27" s="37" t="s">
        <v>123</v>
      </c>
      <c r="L27" s="38" t="e">
        <f t="shared" si="12"/>
        <v>#VALUE!</v>
      </c>
      <c r="M27" s="38" t="e">
        <f t="shared" si="7"/>
        <v>#VALUE!</v>
      </c>
      <c r="N27" s="38" t="e">
        <f t="shared" si="8"/>
        <v>#VALUE!</v>
      </c>
      <c r="O27" s="38" t="e">
        <f t="shared" si="9"/>
        <v>#VALUE!</v>
      </c>
      <c r="P27" s="38">
        <f t="shared" si="10"/>
        <v>0</v>
      </c>
      <c r="Q27" s="38"/>
      <c r="R27" s="38" t="e">
        <f t="shared" si="11"/>
        <v>#VALUE!</v>
      </c>
      <c r="S27" s="38"/>
      <c r="U27" s="40" t="e">
        <f>将来人口!$C7*世帯主率推計!M24</f>
        <v>#VALUE!</v>
      </c>
      <c r="V27" s="40" t="e">
        <f>将来人口!$C7*世帯主率推計!N24</f>
        <v>#VALUE!</v>
      </c>
      <c r="W27" s="40" t="e">
        <f>将来人口!$C7*世帯主率推計!O24</f>
        <v>#VALUE!</v>
      </c>
      <c r="X27" s="40" t="e">
        <f>将来人口!$C7*世帯主率推計!P24</f>
        <v>#VALUE!</v>
      </c>
      <c r="Y27" s="40">
        <f>将来人口!$C7*世帯主率推計!Q24</f>
        <v>0</v>
      </c>
    </row>
    <row r="28" spans="1:25" x14ac:dyDescent="0.4">
      <c r="A28" s="45" t="str">
        <f>世帯数不詳按分!A29</f>
        <v>40~44</v>
      </c>
      <c r="B28" s="47" t="e">
        <f>世帯数不詳按分!C29</f>
        <v>#DIV/0!</v>
      </c>
      <c r="C28" s="47" t="e">
        <f>世帯数不詳按分!D29</f>
        <v>#DIV/0!</v>
      </c>
      <c r="D28" s="47" t="e">
        <f>世帯数不詳按分!E29</f>
        <v>#DIV/0!</v>
      </c>
      <c r="E28" s="47" t="e">
        <f>世帯数不詳按分!F29</f>
        <v>#DIV/0!</v>
      </c>
      <c r="F28" s="47" t="e">
        <f>世帯数不詳按分!G29</f>
        <v>#DIV/0!</v>
      </c>
      <c r="G28" s="47"/>
      <c r="H28" s="47" t="e">
        <f>世帯数不詳按分!B29</f>
        <v>#DIV/0!</v>
      </c>
      <c r="I28" s="47"/>
      <c r="K28" s="37" t="s">
        <v>124</v>
      </c>
      <c r="L28" s="38" t="e">
        <f t="shared" si="12"/>
        <v>#VALUE!</v>
      </c>
      <c r="M28" s="38" t="e">
        <f t="shared" si="7"/>
        <v>#VALUE!</v>
      </c>
      <c r="N28" s="38" t="e">
        <f t="shared" si="8"/>
        <v>#VALUE!</v>
      </c>
      <c r="O28" s="38" t="e">
        <f t="shared" si="9"/>
        <v>#VALUE!</v>
      </c>
      <c r="P28" s="38">
        <f t="shared" si="10"/>
        <v>0</v>
      </c>
      <c r="Q28" s="38"/>
      <c r="R28" s="38" t="e">
        <f t="shared" si="11"/>
        <v>#VALUE!</v>
      </c>
      <c r="S28" s="38"/>
      <c r="U28" s="40" t="e">
        <f>将来人口!$C8*世帯主率推計!M25</f>
        <v>#VALUE!</v>
      </c>
      <c r="V28" s="40" t="e">
        <f>将来人口!$C8*世帯主率推計!N25</f>
        <v>#VALUE!</v>
      </c>
      <c r="W28" s="40" t="e">
        <f>将来人口!$C8*世帯主率推計!O25</f>
        <v>#VALUE!</v>
      </c>
      <c r="X28" s="40" t="e">
        <f>将来人口!$C8*世帯主率推計!P25</f>
        <v>#VALUE!</v>
      </c>
      <c r="Y28" s="40">
        <f>将来人口!$C8*世帯主率推計!Q25</f>
        <v>0</v>
      </c>
    </row>
    <row r="29" spans="1:25" x14ac:dyDescent="0.4">
      <c r="A29" s="45" t="str">
        <f>世帯数不詳按分!A30</f>
        <v>45~49</v>
      </c>
      <c r="B29" s="47" t="e">
        <f>世帯数不詳按分!C30</f>
        <v>#DIV/0!</v>
      </c>
      <c r="C29" s="47" t="e">
        <f>世帯数不詳按分!D30</f>
        <v>#DIV/0!</v>
      </c>
      <c r="D29" s="47" t="e">
        <f>世帯数不詳按分!E30</f>
        <v>#DIV/0!</v>
      </c>
      <c r="E29" s="47" t="e">
        <f>世帯数不詳按分!F30</f>
        <v>#DIV/0!</v>
      </c>
      <c r="F29" s="47" t="e">
        <f>世帯数不詳按分!G30</f>
        <v>#DIV/0!</v>
      </c>
      <c r="G29" s="47"/>
      <c r="H29" s="47" t="e">
        <f>世帯数不詳按分!B30</f>
        <v>#DIV/0!</v>
      </c>
      <c r="I29" s="47"/>
      <c r="K29" s="37" t="s">
        <v>125</v>
      </c>
      <c r="L29" s="38" t="e">
        <f t="shared" si="12"/>
        <v>#VALUE!</v>
      </c>
      <c r="M29" s="38" t="e">
        <f t="shared" si="7"/>
        <v>#VALUE!</v>
      </c>
      <c r="N29" s="38" t="e">
        <f t="shared" si="8"/>
        <v>#VALUE!</v>
      </c>
      <c r="O29" s="38" t="e">
        <f t="shared" si="9"/>
        <v>#VALUE!</v>
      </c>
      <c r="P29" s="38">
        <f t="shared" si="10"/>
        <v>0</v>
      </c>
      <c r="Q29" s="38"/>
      <c r="R29" s="38" t="e">
        <f t="shared" si="11"/>
        <v>#VALUE!</v>
      </c>
      <c r="S29" s="38"/>
      <c r="U29" s="40" t="e">
        <f>将来人口!$C9*世帯主率推計!M26</f>
        <v>#VALUE!</v>
      </c>
      <c r="V29" s="40" t="e">
        <f>将来人口!$C9*世帯主率推計!N26</f>
        <v>#VALUE!</v>
      </c>
      <c r="W29" s="40" t="e">
        <f>将来人口!$C9*世帯主率推計!O26</f>
        <v>#VALUE!</v>
      </c>
      <c r="X29" s="40" t="e">
        <f>将来人口!$C9*世帯主率推計!P26</f>
        <v>#VALUE!</v>
      </c>
      <c r="Y29" s="40">
        <f>将来人口!$C9*世帯主率推計!Q26</f>
        <v>0</v>
      </c>
    </row>
    <row r="30" spans="1:25" x14ac:dyDescent="0.4">
      <c r="A30" s="45" t="str">
        <f>世帯数不詳按分!A31</f>
        <v>50~54</v>
      </c>
      <c r="B30" s="47" t="e">
        <f>世帯数不詳按分!C31</f>
        <v>#DIV/0!</v>
      </c>
      <c r="C30" s="47" t="e">
        <f>世帯数不詳按分!D31</f>
        <v>#DIV/0!</v>
      </c>
      <c r="D30" s="47" t="e">
        <f>世帯数不詳按分!E31</f>
        <v>#DIV/0!</v>
      </c>
      <c r="E30" s="47" t="e">
        <f>世帯数不詳按分!F31</f>
        <v>#DIV/0!</v>
      </c>
      <c r="F30" s="47" t="e">
        <f>世帯数不詳按分!G31</f>
        <v>#DIV/0!</v>
      </c>
      <c r="G30" s="47"/>
      <c r="H30" s="47" t="e">
        <f>世帯数不詳按分!B31</f>
        <v>#DIV/0!</v>
      </c>
      <c r="I30" s="47"/>
      <c r="K30" s="37" t="s">
        <v>126</v>
      </c>
      <c r="L30" s="38" t="e">
        <f t="shared" si="12"/>
        <v>#VALUE!</v>
      </c>
      <c r="M30" s="38" t="e">
        <f t="shared" si="7"/>
        <v>#VALUE!</v>
      </c>
      <c r="N30" s="38" t="e">
        <f t="shared" si="8"/>
        <v>#VALUE!</v>
      </c>
      <c r="O30" s="38" t="e">
        <f t="shared" si="9"/>
        <v>#VALUE!</v>
      </c>
      <c r="P30" s="38">
        <f t="shared" si="10"/>
        <v>0</v>
      </c>
      <c r="Q30" s="38"/>
      <c r="R30" s="38" t="e">
        <f t="shared" si="11"/>
        <v>#VALUE!</v>
      </c>
      <c r="S30" s="38"/>
      <c r="U30" s="40" t="e">
        <f>将来人口!$C10*世帯主率推計!M27</f>
        <v>#VALUE!</v>
      </c>
      <c r="V30" s="40" t="e">
        <f>将来人口!$C10*世帯主率推計!N27</f>
        <v>#VALUE!</v>
      </c>
      <c r="W30" s="40" t="e">
        <f>将来人口!$C10*世帯主率推計!O27</f>
        <v>#VALUE!</v>
      </c>
      <c r="X30" s="40" t="e">
        <f>将来人口!$C10*世帯主率推計!P27</f>
        <v>#VALUE!</v>
      </c>
      <c r="Y30" s="40">
        <f>将来人口!$C10*世帯主率推計!Q27</f>
        <v>0</v>
      </c>
    </row>
    <row r="31" spans="1:25" x14ac:dyDescent="0.4">
      <c r="A31" s="45" t="str">
        <f>世帯数不詳按分!A32</f>
        <v>55~59</v>
      </c>
      <c r="B31" s="47" t="e">
        <f>世帯数不詳按分!C32</f>
        <v>#DIV/0!</v>
      </c>
      <c r="C31" s="47" t="e">
        <f>世帯数不詳按分!D32</f>
        <v>#DIV/0!</v>
      </c>
      <c r="D31" s="47" t="e">
        <f>世帯数不詳按分!E32</f>
        <v>#DIV/0!</v>
      </c>
      <c r="E31" s="47" t="e">
        <f>世帯数不詳按分!F32</f>
        <v>#DIV/0!</v>
      </c>
      <c r="F31" s="47" t="e">
        <f>世帯数不詳按分!G32</f>
        <v>#DIV/0!</v>
      </c>
      <c r="G31" s="47"/>
      <c r="H31" s="47" t="e">
        <f>世帯数不詳按分!B32</f>
        <v>#DIV/0!</v>
      </c>
      <c r="I31" s="47"/>
      <c r="K31" s="37" t="s">
        <v>127</v>
      </c>
      <c r="L31" s="38" t="e">
        <f t="shared" si="12"/>
        <v>#VALUE!</v>
      </c>
      <c r="M31" s="38" t="e">
        <f t="shared" si="7"/>
        <v>#VALUE!</v>
      </c>
      <c r="N31" s="38" t="e">
        <f t="shared" si="8"/>
        <v>#VALUE!</v>
      </c>
      <c r="O31" s="38" t="e">
        <f t="shared" si="9"/>
        <v>#VALUE!</v>
      </c>
      <c r="P31" s="38">
        <f t="shared" si="10"/>
        <v>0</v>
      </c>
      <c r="Q31" s="38"/>
      <c r="R31" s="38" t="e">
        <f t="shared" si="11"/>
        <v>#VALUE!</v>
      </c>
      <c r="S31" s="38"/>
      <c r="U31" s="40" t="e">
        <f>将来人口!$C11*世帯主率推計!M28</f>
        <v>#VALUE!</v>
      </c>
      <c r="V31" s="40" t="e">
        <f>将来人口!$C11*世帯主率推計!N28</f>
        <v>#VALUE!</v>
      </c>
      <c r="W31" s="40" t="e">
        <f>将来人口!$C11*世帯主率推計!O28</f>
        <v>#VALUE!</v>
      </c>
      <c r="X31" s="40" t="e">
        <f>将来人口!$C11*世帯主率推計!P28</f>
        <v>#VALUE!</v>
      </c>
      <c r="Y31" s="40">
        <f>将来人口!$C11*世帯主率推計!Q28</f>
        <v>0</v>
      </c>
    </row>
    <row r="32" spans="1:25" x14ac:dyDescent="0.4">
      <c r="A32" s="45" t="str">
        <f>世帯数不詳按分!A33</f>
        <v>60~64</v>
      </c>
      <c r="B32" s="47" t="e">
        <f>世帯数不詳按分!C33</f>
        <v>#DIV/0!</v>
      </c>
      <c r="C32" s="47" t="e">
        <f>世帯数不詳按分!D33</f>
        <v>#DIV/0!</v>
      </c>
      <c r="D32" s="47" t="e">
        <f>世帯数不詳按分!E33</f>
        <v>#DIV/0!</v>
      </c>
      <c r="E32" s="47" t="e">
        <f>世帯数不詳按分!F33</f>
        <v>#DIV/0!</v>
      </c>
      <c r="F32" s="47" t="e">
        <f>世帯数不詳按分!G33</f>
        <v>#DIV/0!</v>
      </c>
      <c r="G32" s="47"/>
      <c r="H32" s="47" t="e">
        <f>世帯数不詳按分!B33</f>
        <v>#DIV/0!</v>
      </c>
      <c r="I32" s="47"/>
      <c r="K32" s="37" t="s">
        <v>128</v>
      </c>
      <c r="L32" s="38" t="e">
        <f t="shared" si="12"/>
        <v>#VALUE!</v>
      </c>
      <c r="M32" s="38" t="e">
        <f t="shared" si="7"/>
        <v>#VALUE!</v>
      </c>
      <c r="N32" s="38" t="e">
        <f t="shared" si="8"/>
        <v>#VALUE!</v>
      </c>
      <c r="O32" s="38" t="e">
        <f t="shared" si="9"/>
        <v>#VALUE!</v>
      </c>
      <c r="P32" s="38">
        <f t="shared" si="10"/>
        <v>0</v>
      </c>
      <c r="Q32" s="38"/>
      <c r="R32" s="38" t="e">
        <f t="shared" si="11"/>
        <v>#VALUE!</v>
      </c>
      <c r="S32" s="38"/>
      <c r="U32" s="40" t="e">
        <f>将来人口!$C12*世帯主率推計!M29</f>
        <v>#VALUE!</v>
      </c>
      <c r="V32" s="40" t="e">
        <f>将来人口!$C12*世帯主率推計!N29</f>
        <v>#VALUE!</v>
      </c>
      <c r="W32" s="40" t="e">
        <f>将来人口!$C12*世帯主率推計!O29</f>
        <v>#VALUE!</v>
      </c>
      <c r="X32" s="40" t="e">
        <f>将来人口!$C12*世帯主率推計!P29</f>
        <v>#VALUE!</v>
      </c>
      <c r="Y32" s="40">
        <f>将来人口!$C12*世帯主率推計!Q29</f>
        <v>0</v>
      </c>
    </row>
    <row r="33" spans="1:25" x14ac:dyDescent="0.4">
      <c r="A33" s="45" t="str">
        <f>世帯数不詳按分!A34</f>
        <v>65~69</v>
      </c>
      <c r="B33" s="47" t="e">
        <f>世帯数不詳按分!C34</f>
        <v>#DIV/0!</v>
      </c>
      <c r="C33" s="47" t="e">
        <f>世帯数不詳按分!D34</f>
        <v>#DIV/0!</v>
      </c>
      <c r="D33" s="47" t="e">
        <f>世帯数不詳按分!E34</f>
        <v>#DIV/0!</v>
      </c>
      <c r="E33" s="47" t="e">
        <f>世帯数不詳按分!F34</f>
        <v>#DIV/0!</v>
      </c>
      <c r="F33" s="47" t="e">
        <f>世帯数不詳按分!G34</f>
        <v>#DIV/0!</v>
      </c>
      <c r="G33" s="47"/>
      <c r="H33" s="47" t="e">
        <f>世帯数不詳按分!B34</f>
        <v>#DIV/0!</v>
      </c>
      <c r="I33" s="47"/>
      <c r="K33" s="37" t="s">
        <v>129</v>
      </c>
      <c r="L33" s="38" t="e">
        <f t="shared" si="12"/>
        <v>#VALUE!</v>
      </c>
      <c r="M33" s="38" t="e">
        <f t="shared" si="7"/>
        <v>#VALUE!</v>
      </c>
      <c r="N33" s="38" t="e">
        <f t="shared" si="8"/>
        <v>#VALUE!</v>
      </c>
      <c r="O33" s="38" t="e">
        <f t="shared" si="9"/>
        <v>#VALUE!</v>
      </c>
      <c r="P33" s="38">
        <f t="shared" si="10"/>
        <v>0</v>
      </c>
      <c r="Q33" s="38"/>
      <c r="R33" s="38" t="e">
        <f t="shared" si="11"/>
        <v>#VALUE!</v>
      </c>
      <c r="S33" s="38"/>
      <c r="U33" s="40" t="e">
        <f>将来人口!$C13*世帯主率推計!M30</f>
        <v>#VALUE!</v>
      </c>
      <c r="V33" s="40" t="e">
        <f>将来人口!$C13*世帯主率推計!N30</f>
        <v>#VALUE!</v>
      </c>
      <c r="W33" s="40" t="e">
        <f>将来人口!$C13*世帯主率推計!O30</f>
        <v>#VALUE!</v>
      </c>
      <c r="X33" s="40" t="e">
        <f>将来人口!$C13*世帯主率推計!P30</f>
        <v>#VALUE!</v>
      </c>
      <c r="Y33" s="40">
        <f>将来人口!$C13*世帯主率推計!Q30</f>
        <v>0</v>
      </c>
    </row>
    <row r="34" spans="1:25" x14ac:dyDescent="0.4">
      <c r="A34" s="45" t="str">
        <f>世帯数不詳按分!A35</f>
        <v>70~74</v>
      </c>
      <c r="B34" s="47" t="e">
        <f>世帯数不詳按分!C35</f>
        <v>#DIV/0!</v>
      </c>
      <c r="C34" s="47" t="e">
        <f>世帯数不詳按分!D35</f>
        <v>#DIV/0!</v>
      </c>
      <c r="D34" s="47" t="e">
        <f>世帯数不詳按分!E35</f>
        <v>#DIV/0!</v>
      </c>
      <c r="E34" s="47" t="e">
        <f>世帯数不詳按分!F35</f>
        <v>#DIV/0!</v>
      </c>
      <c r="F34" s="47" t="e">
        <f>世帯数不詳按分!G35</f>
        <v>#DIV/0!</v>
      </c>
      <c r="G34" s="47"/>
      <c r="H34" s="47" t="e">
        <f>世帯数不詳按分!B35</f>
        <v>#DIV/0!</v>
      </c>
      <c r="I34" s="47"/>
      <c r="K34" s="37" t="s">
        <v>130</v>
      </c>
      <c r="L34" s="38" t="e">
        <f t="shared" si="12"/>
        <v>#VALUE!</v>
      </c>
      <c r="M34" s="38" t="e">
        <f t="shared" si="7"/>
        <v>#VALUE!</v>
      </c>
      <c r="N34" s="38" t="e">
        <f t="shared" si="8"/>
        <v>#VALUE!</v>
      </c>
      <c r="O34" s="38" t="e">
        <f t="shared" si="9"/>
        <v>#VALUE!</v>
      </c>
      <c r="P34" s="38">
        <f t="shared" si="10"/>
        <v>0</v>
      </c>
      <c r="Q34" s="38"/>
      <c r="R34" s="38" t="e">
        <f t="shared" si="11"/>
        <v>#VALUE!</v>
      </c>
      <c r="S34" s="38"/>
      <c r="U34" s="40" t="e">
        <f>将来人口!$C14*世帯主率推計!M31</f>
        <v>#VALUE!</v>
      </c>
      <c r="V34" s="40" t="e">
        <f>将来人口!$C14*世帯主率推計!N31</f>
        <v>#VALUE!</v>
      </c>
      <c r="W34" s="40" t="e">
        <f>将来人口!$C14*世帯主率推計!O31</f>
        <v>#VALUE!</v>
      </c>
      <c r="X34" s="40" t="e">
        <f>将来人口!$C14*世帯主率推計!P31</f>
        <v>#VALUE!</v>
      </c>
      <c r="Y34" s="40">
        <f>将来人口!$C14*世帯主率推計!Q31</f>
        <v>0</v>
      </c>
    </row>
    <row r="35" spans="1:25" x14ac:dyDescent="0.4">
      <c r="A35" s="45" t="str">
        <f>世帯数不詳按分!A36</f>
        <v>75~79</v>
      </c>
      <c r="B35" s="47" t="e">
        <f>世帯数不詳按分!C36</f>
        <v>#DIV/0!</v>
      </c>
      <c r="C35" s="47" t="e">
        <f>世帯数不詳按分!D36</f>
        <v>#DIV/0!</v>
      </c>
      <c r="D35" s="47" t="e">
        <f>世帯数不詳按分!E36</f>
        <v>#DIV/0!</v>
      </c>
      <c r="E35" s="47" t="e">
        <f>世帯数不詳按分!F36</f>
        <v>#DIV/0!</v>
      </c>
      <c r="F35" s="47" t="e">
        <f>世帯数不詳按分!G36</f>
        <v>#DIV/0!</v>
      </c>
      <c r="G35" s="47"/>
      <c r="H35" s="47" t="e">
        <f>世帯数不詳按分!B36</f>
        <v>#DIV/0!</v>
      </c>
      <c r="I35" s="47"/>
      <c r="K35" s="37" t="s">
        <v>131</v>
      </c>
      <c r="L35" s="38" t="e">
        <f t="shared" si="12"/>
        <v>#VALUE!</v>
      </c>
      <c r="M35" s="38" t="e">
        <f t="shared" si="7"/>
        <v>#VALUE!</v>
      </c>
      <c r="N35" s="38" t="e">
        <f t="shared" si="8"/>
        <v>#VALUE!</v>
      </c>
      <c r="O35" s="38" t="e">
        <f t="shared" si="9"/>
        <v>#VALUE!</v>
      </c>
      <c r="P35" s="38">
        <f t="shared" si="10"/>
        <v>0</v>
      </c>
      <c r="Q35" s="38"/>
      <c r="R35" s="38" t="e">
        <f t="shared" si="11"/>
        <v>#VALUE!</v>
      </c>
      <c r="S35" s="38"/>
      <c r="U35" s="40" t="e">
        <f>将来人口!$C15*世帯主率推計!M32</f>
        <v>#VALUE!</v>
      </c>
      <c r="V35" s="40" t="e">
        <f>将来人口!$C15*世帯主率推計!N32</f>
        <v>#VALUE!</v>
      </c>
      <c r="W35" s="40" t="e">
        <f>将来人口!$C15*世帯主率推計!O32</f>
        <v>#VALUE!</v>
      </c>
      <c r="X35" s="40" t="e">
        <f>将来人口!$C15*世帯主率推計!P32</f>
        <v>#VALUE!</v>
      </c>
      <c r="Y35" s="40">
        <f>将来人口!$C15*世帯主率推計!Q32</f>
        <v>0</v>
      </c>
    </row>
    <row r="36" spans="1:25" x14ac:dyDescent="0.4">
      <c r="A36" s="45" t="str">
        <f>世帯数不詳按分!A37</f>
        <v>80~84</v>
      </c>
      <c r="B36" s="47" t="e">
        <f>世帯数不詳按分!C37</f>
        <v>#DIV/0!</v>
      </c>
      <c r="C36" s="47" t="e">
        <f>世帯数不詳按分!D37</f>
        <v>#DIV/0!</v>
      </c>
      <c r="D36" s="47" t="e">
        <f>世帯数不詳按分!E37</f>
        <v>#DIV/0!</v>
      </c>
      <c r="E36" s="47" t="e">
        <f>世帯数不詳按分!F37</f>
        <v>#DIV/0!</v>
      </c>
      <c r="F36" s="47" t="e">
        <f>世帯数不詳按分!G37</f>
        <v>#DIV/0!</v>
      </c>
      <c r="G36" s="47"/>
      <c r="H36" s="47" t="e">
        <f>世帯数不詳按分!B37</f>
        <v>#DIV/0!</v>
      </c>
      <c r="I36" s="47"/>
      <c r="K36" s="37" t="s">
        <v>132</v>
      </c>
      <c r="L36" s="38" t="e">
        <f t="shared" si="12"/>
        <v>#VALUE!</v>
      </c>
      <c r="M36" s="38" t="e">
        <f t="shared" si="7"/>
        <v>#VALUE!</v>
      </c>
      <c r="N36" s="38" t="e">
        <f t="shared" si="8"/>
        <v>#VALUE!</v>
      </c>
      <c r="O36" s="38" t="e">
        <f t="shared" si="9"/>
        <v>#VALUE!</v>
      </c>
      <c r="P36" s="38">
        <f t="shared" si="10"/>
        <v>0</v>
      </c>
      <c r="Q36" s="38"/>
      <c r="R36" s="38" t="e">
        <f t="shared" si="11"/>
        <v>#VALUE!</v>
      </c>
      <c r="S36" s="38"/>
      <c r="U36" s="40" t="e">
        <f>将来人口!$C16*世帯主率推計!M33</f>
        <v>#VALUE!</v>
      </c>
      <c r="V36" s="40" t="e">
        <f>将来人口!$C16*世帯主率推計!N33</f>
        <v>#VALUE!</v>
      </c>
      <c r="W36" s="40" t="e">
        <f>将来人口!$C16*世帯主率推計!O33</f>
        <v>#VALUE!</v>
      </c>
      <c r="X36" s="40" t="e">
        <f>将来人口!$C16*世帯主率推計!P33</f>
        <v>#VALUE!</v>
      </c>
      <c r="Y36" s="40">
        <f>将来人口!$C16*世帯主率推計!Q33</f>
        <v>0</v>
      </c>
    </row>
    <row r="37" spans="1:25" x14ac:dyDescent="0.4">
      <c r="A37" s="45" t="str">
        <f>世帯数不詳按分!A38</f>
        <v>85歳以上</v>
      </c>
      <c r="B37" s="47" t="e">
        <f>世帯数不詳按分!C38</f>
        <v>#DIV/0!</v>
      </c>
      <c r="C37" s="47" t="e">
        <f>世帯数不詳按分!D38</f>
        <v>#DIV/0!</v>
      </c>
      <c r="D37" s="47" t="e">
        <f>世帯数不詳按分!E38</f>
        <v>#DIV/0!</v>
      </c>
      <c r="E37" s="47" t="e">
        <f>世帯数不詳按分!F38</f>
        <v>#DIV/0!</v>
      </c>
      <c r="F37" s="47" t="e">
        <f>世帯数不詳按分!G38</f>
        <v>#DIV/0!</v>
      </c>
      <c r="G37" s="47"/>
      <c r="H37" s="47" t="e">
        <f>世帯数不詳按分!B38</f>
        <v>#DIV/0!</v>
      </c>
      <c r="I37" s="47"/>
      <c r="K37" s="37" t="s">
        <v>134</v>
      </c>
      <c r="L37" s="38" t="e">
        <f t="shared" si="12"/>
        <v>#VALUE!</v>
      </c>
      <c r="M37" s="38" t="e">
        <f t="shared" si="7"/>
        <v>#VALUE!</v>
      </c>
      <c r="N37" s="38" t="e">
        <f t="shared" si="8"/>
        <v>#VALUE!</v>
      </c>
      <c r="O37" s="38" t="e">
        <f t="shared" si="9"/>
        <v>#VALUE!</v>
      </c>
      <c r="P37" s="38">
        <f t="shared" si="10"/>
        <v>0</v>
      </c>
      <c r="Q37" s="38"/>
      <c r="R37" s="38" t="e">
        <f t="shared" si="11"/>
        <v>#VALUE!</v>
      </c>
      <c r="S37" s="38"/>
      <c r="U37" s="40" t="e">
        <f>将来人口!$C17*世帯主率推計!M34</f>
        <v>#VALUE!</v>
      </c>
      <c r="V37" s="40" t="e">
        <f>将来人口!$C17*世帯主率推計!N34</f>
        <v>#VALUE!</v>
      </c>
      <c r="W37" s="40" t="e">
        <f>将来人口!$C17*世帯主率推計!O34</f>
        <v>#VALUE!</v>
      </c>
      <c r="X37" s="40" t="e">
        <f>将来人口!$C17*世帯主率推計!P34</f>
        <v>#VALUE!</v>
      </c>
      <c r="Y37" s="40">
        <f>将来人口!$C17*世帯主率推計!Q34</f>
        <v>0</v>
      </c>
    </row>
    <row r="38" spans="1:25" x14ac:dyDescent="0.4">
      <c r="A38" s="45" t="str">
        <f>世帯数不詳按分!A40</f>
        <v>合計</v>
      </c>
      <c r="B38" s="45" t="e">
        <f>世帯数不詳按分!C40</f>
        <v>#DIV/0!</v>
      </c>
      <c r="C38" s="45" t="e">
        <f>世帯数不詳按分!D40</f>
        <v>#DIV/0!</v>
      </c>
      <c r="D38" s="45" t="e">
        <f>世帯数不詳按分!E40</f>
        <v>#DIV/0!</v>
      </c>
      <c r="E38" s="45" t="e">
        <f>世帯数不詳按分!F40</f>
        <v>#DIV/0!</v>
      </c>
      <c r="F38" s="45" t="e">
        <f>世帯数不詳按分!G40</f>
        <v>#DIV/0!</v>
      </c>
      <c r="G38" s="45">
        <f>世帯数不詳按分!H40</f>
        <v>0</v>
      </c>
      <c r="H38" s="45" t="e">
        <f>世帯数不詳按分!B40</f>
        <v>#DIV/0!</v>
      </c>
      <c r="I38" s="45" t="e">
        <f>SUM(G38:H38)</f>
        <v>#DIV/0!</v>
      </c>
      <c r="K38" s="37" t="s">
        <v>135</v>
      </c>
      <c r="L38" s="39" t="e">
        <f t="shared" ref="L38" si="13">SUM(L22:L37)</f>
        <v>#VALUE!</v>
      </c>
      <c r="M38" s="39" t="e">
        <f t="shared" ref="M38" si="14">SUM(M22:M37)</f>
        <v>#VALUE!</v>
      </c>
      <c r="N38" s="39" t="e">
        <f t="shared" ref="N38" si="15">SUM(N22:N37)</f>
        <v>#VALUE!</v>
      </c>
      <c r="O38" s="39" t="e">
        <f t="shared" ref="O38" si="16">SUM(O22:O37)</f>
        <v>#VALUE!</v>
      </c>
      <c r="P38" s="39">
        <f t="shared" ref="P38" si="17">SUM(P22:P37)</f>
        <v>0</v>
      </c>
      <c r="Q38" s="39">
        <f>Q19</f>
        <v>0</v>
      </c>
      <c r="R38" s="39" t="e">
        <f>SUM(R22:R37)</f>
        <v>#VALUE!</v>
      </c>
      <c r="S38" s="39" t="e">
        <f>SUM(L38:Q38)</f>
        <v>#VALUE!</v>
      </c>
    </row>
    <row r="39" spans="1:25" x14ac:dyDescent="0.4">
      <c r="A39" s="30"/>
      <c r="K39" s="54" t="str">
        <f>IF(COUNTIF(U23:Y37,"&lt;0")&lt;&gt;0,"※推計がマイナスとなる場合は0とした","")</f>
        <v/>
      </c>
      <c r="L39" s="54"/>
      <c r="M39" s="54"/>
      <c r="N39" s="54"/>
    </row>
    <row r="40" spans="1:25" x14ac:dyDescent="0.4">
      <c r="A40" s="46" t="str">
        <f>世帯数不詳按分!A42</f>
        <v>H27(2015)</v>
      </c>
      <c r="B40" s="45" t="str">
        <f>世帯数不詳按分!C42</f>
        <v>単独</v>
      </c>
      <c r="C40" s="45" t="str">
        <f>世帯数不詳按分!D42</f>
        <v>夫婦のみ</v>
      </c>
      <c r="D40" s="45" t="str">
        <f>世帯数不詳按分!E42</f>
        <v>夫婦と子</v>
      </c>
      <c r="E40" s="45" t="str">
        <f>世帯数不詳按分!F42</f>
        <v>ひとり親と子</v>
      </c>
      <c r="F40" s="45" t="str">
        <f>世帯数不詳按分!G42</f>
        <v>その他</v>
      </c>
      <c r="G40" s="45" t="str">
        <f>世帯数不詳按分!H42</f>
        <v>施設等</v>
      </c>
      <c r="H40" s="45" t="str">
        <f>世帯数不詳按分!B42</f>
        <v>一般世帯合計</v>
      </c>
      <c r="I40" s="45" t="s">
        <v>140</v>
      </c>
      <c r="K40" s="35" t="s">
        <v>115</v>
      </c>
      <c r="L40" s="36" t="s">
        <v>137</v>
      </c>
      <c r="M40" s="36" t="s">
        <v>106</v>
      </c>
      <c r="N40" s="36" t="s">
        <v>107</v>
      </c>
      <c r="O40" s="36" t="s">
        <v>108</v>
      </c>
      <c r="P40" s="36" t="s">
        <v>138</v>
      </c>
      <c r="Q40" s="36" t="s">
        <v>139</v>
      </c>
      <c r="R40" s="36" t="s">
        <v>136</v>
      </c>
      <c r="S40" s="36" t="s">
        <v>140</v>
      </c>
    </row>
    <row r="41" spans="1:25" x14ac:dyDescent="0.4">
      <c r="A41" s="45" t="str">
        <f>世帯数不詳按分!A43</f>
        <v>15歳未満</v>
      </c>
      <c r="B41" s="47" t="e">
        <f>世帯数不詳按分!C43</f>
        <v>#DIV/0!</v>
      </c>
      <c r="C41" s="47" t="e">
        <f>世帯数不詳按分!D43</f>
        <v>#DIV/0!</v>
      </c>
      <c r="D41" s="47" t="e">
        <f>世帯数不詳按分!E43</f>
        <v>#DIV/0!</v>
      </c>
      <c r="E41" s="47" t="e">
        <f>世帯数不詳按分!F43</f>
        <v>#DIV/0!</v>
      </c>
      <c r="F41" s="47" t="e">
        <f>世帯数不詳按分!G43</f>
        <v>#DIV/0!</v>
      </c>
      <c r="G41" s="47"/>
      <c r="H41" s="47" t="e">
        <f>世帯数不詳按分!B43</f>
        <v>#DIV/0!</v>
      </c>
      <c r="I41" s="47"/>
      <c r="K41" s="37" t="s">
        <v>133</v>
      </c>
      <c r="L41" s="38"/>
      <c r="M41" s="38"/>
      <c r="N41" s="38"/>
      <c r="O41" s="38"/>
      <c r="P41" s="38"/>
      <c r="Q41" s="38"/>
      <c r="R41" s="38">
        <v>0</v>
      </c>
      <c r="S41" s="38"/>
    </row>
    <row r="42" spans="1:25" x14ac:dyDescent="0.4">
      <c r="A42" s="45" t="str">
        <f>世帯数不詳按分!A44</f>
        <v>15~19</v>
      </c>
      <c r="B42" s="47" t="e">
        <f>世帯数不詳按分!C44</f>
        <v>#DIV/0!</v>
      </c>
      <c r="C42" s="47" t="e">
        <f>世帯数不詳按分!D44</f>
        <v>#DIV/0!</v>
      </c>
      <c r="D42" s="47" t="e">
        <f>世帯数不詳按分!E44</f>
        <v>#DIV/0!</v>
      </c>
      <c r="E42" s="47" t="e">
        <f>世帯数不詳按分!F44</f>
        <v>#DIV/0!</v>
      </c>
      <c r="F42" s="47" t="e">
        <f>世帯数不詳按分!G44</f>
        <v>#DIV/0!</v>
      </c>
      <c r="G42" s="47"/>
      <c r="H42" s="47" t="e">
        <f>世帯数不詳按分!B44</f>
        <v>#DIV/0!</v>
      </c>
      <c r="I42" s="47"/>
      <c r="J42" s="2"/>
      <c r="K42" s="37" t="s">
        <v>119</v>
      </c>
      <c r="L42" s="38" t="e">
        <f>IF(U42&lt;0,0,U42)</f>
        <v>#VALUE!</v>
      </c>
      <c r="M42" s="38" t="e">
        <f t="shared" ref="M42:M56" si="18">IF(V42&lt;0,0,V42)</f>
        <v>#VALUE!</v>
      </c>
      <c r="N42" s="38" t="e">
        <f t="shared" ref="N42:N56" si="19">IF(W42&lt;0,0,W42)</f>
        <v>#VALUE!</v>
      </c>
      <c r="O42" s="38" t="e">
        <f t="shared" ref="O42:O56" si="20">IF(X42&lt;0,0,X42)</f>
        <v>#VALUE!</v>
      </c>
      <c r="P42" s="38">
        <f t="shared" ref="P42:P56" si="21">IF(Y42&lt;0,0,Y42)</f>
        <v>0</v>
      </c>
      <c r="Q42" s="38"/>
      <c r="R42" s="38" t="e">
        <f t="shared" ref="R42:R56" si="22">SUM(L42:P42)</f>
        <v>#VALUE!</v>
      </c>
      <c r="S42" s="38"/>
      <c r="U42" s="40" t="e">
        <f>将来人口!$D3*世帯主率推計!M37</f>
        <v>#VALUE!</v>
      </c>
      <c r="V42" s="40" t="e">
        <f>将来人口!$D3*世帯主率推計!N37</f>
        <v>#VALUE!</v>
      </c>
      <c r="W42" s="40" t="e">
        <f>将来人口!$D3*世帯主率推計!O37</f>
        <v>#VALUE!</v>
      </c>
      <c r="X42" s="40" t="e">
        <f>将来人口!$D3*世帯主率推計!P37</f>
        <v>#VALUE!</v>
      </c>
      <c r="Y42" s="40">
        <f>将来人口!$D3*世帯主率推計!Q37</f>
        <v>0</v>
      </c>
    </row>
    <row r="43" spans="1:25" x14ac:dyDescent="0.4">
      <c r="A43" s="45" t="str">
        <f>世帯数不詳按分!A45</f>
        <v>20~24</v>
      </c>
      <c r="B43" s="47" t="e">
        <f>世帯数不詳按分!C45</f>
        <v>#DIV/0!</v>
      </c>
      <c r="C43" s="47" t="e">
        <f>世帯数不詳按分!D45</f>
        <v>#DIV/0!</v>
      </c>
      <c r="D43" s="47" t="e">
        <f>世帯数不詳按分!E45</f>
        <v>#DIV/0!</v>
      </c>
      <c r="E43" s="47" t="e">
        <f>世帯数不詳按分!F45</f>
        <v>#DIV/0!</v>
      </c>
      <c r="F43" s="47" t="e">
        <f>世帯数不詳按分!G45</f>
        <v>#DIV/0!</v>
      </c>
      <c r="G43" s="47"/>
      <c r="H43" s="47" t="e">
        <f>世帯数不詳按分!B45</f>
        <v>#DIV/0!</v>
      </c>
      <c r="I43" s="47"/>
      <c r="K43" s="37" t="s">
        <v>120</v>
      </c>
      <c r="L43" s="38" t="e">
        <f t="shared" ref="L43:L56" si="23">IF(U43&lt;0,0,U43)</f>
        <v>#VALUE!</v>
      </c>
      <c r="M43" s="38" t="e">
        <f t="shared" si="18"/>
        <v>#VALUE!</v>
      </c>
      <c r="N43" s="38" t="e">
        <f t="shared" si="19"/>
        <v>#VALUE!</v>
      </c>
      <c r="O43" s="38" t="e">
        <f t="shared" si="20"/>
        <v>#VALUE!</v>
      </c>
      <c r="P43" s="38">
        <f t="shared" si="21"/>
        <v>0</v>
      </c>
      <c r="Q43" s="38"/>
      <c r="R43" s="38" t="e">
        <f t="shared" si="22"/>
        <v>#VALUE!</v>
      </c>
      <c r="S43" s="38"/>
      <c r="U43" s="40" t="e">
        <f>将来人口!$D4*世帯主率推計!M38</f>
        <v>#VALUE!</v>
      </c>
      <c r="V43" s="40" t="e">
        <f>将来人口!$D4*世帯主率推計!N38</f>
        <v>#VALUE!</v>
      </c>
      <c r="W43" s="40" t="e">
        <f>将来人口!$D4*世帯主率推計!O38</f>
        <v>#VALUE!</v>
      </c>
      <c r="X43" s="40" t="e">
        <f>将来人口!$D4*世帯主率推計!P38</f>
        <v>#VALUE!</v>
      </c>
      <c r="Y43" s="40">
        <f>将来人口!$D4*世帯主率推計!Q38</f>
        <v>0</v>
      </c>
    </row>
    <row r="44" spans="1:25" x14ac:dyDescent="0.4">
      <c r="A44" s="45" t="str">
        <f>世帯数不詳按分!A46</f>
        <v>25~29</v>
      </c>
      <c r="B44" s="47" t="e">
        <f>世帯数不詳按分!C46</f>
        <v>#DIV/0!</v>
      </c>
      <c r="C44" s="47" t="e">
        <f>世帯数不詳按分!D46</f>
        <v>#DIV/0!</v>
      </c>
      <c r="D44" s="47" t="e">
        <f>世帯数不詳按分!E46</f>
        <v>#DIV/0!</v>
      </c>
      <c r="E44" s="47" t="e">
        <f>世帯数不詳按分!F46</f>
        <v>#DIV/0!</v>
      </c>
      <c r="F44" s="47" t="e">
        <f>世帯数不詳按分!G46</f>
        <v>#DIV/0!</v>
      </c>
      <c r="G44" s="47"/>
      <c r="H44" s="47" t="e">
        <f>世帯数不詳按分!B46</f>
        <v>#DIV/0!</v>
      </c>
      <c r="I44" s="47"/>
      <c r="K44" s="37" t="s">
        <v>121</v>
      </c>
      <c r="L44" s="38" t="e">
        <f t="shared" si="23"/>
        <v>#VALUE!</v>
      </c>
      <c r="M44" s="38" t="e">
        <f t="shared" si="18"/>
        <v>#VALUE!</v>
      </c>
      <c r="N44" s="38" t="e">
        <f t="shared" si="19"/>
        <v>#VALUE!</v>
      </c>
      <c r="O44" s="38" t="e">
        <f t="shared" si="20"/>
        <v>#VALUE!</v>
      </c>
      <c r="P44" s="38">
        <f t="shared" si="21"/>
        <v>0</v>
      </c>
      <c r="Q44" s="38"/>
      <c r="R44" s="38" t="e">
        <f t="shared" si="22"/>
        <v>#VALUE!</v>
      </c>
      <c r="S44" s="38"/>
      <c r="U44" s="40" t="e">
        <f>将来人口!$D5*世帯主率推計!M39</f>
        <v>#VALUE!</v>
      </c>
      <c r="V44" s="40" t="e">
        <f>将来人口!$D5*世帯主率推計!N39</f>
        <v>#VALUE!</v>
      </c>
      <c r="W44" s="40" t="e">
        <f>将来人口!$D5*世帯主率推計!O39</f>
        <v>#VALUE!</v>
      </c>
      <c r="X44" s="40" t="e">
        <f>将来人口!$D5*世帯主率推計!P39</f>
        <v>#VALUE!</v>
      </c>
      <c r="Y44" s="40">
        <f>将来人口!$D5*世帯主率推計!Q39</f>
        <v>0</v>
      </c>
    </row>
    <row r="45" spans="1:25" x14ac:dyDescent="0.4">
      <c r="A45" s="45" t="str">
        <f>世帯数不詳按分!A47</f>
        <v>30~34</v>
      </c>
      <c r="B45" s="47" t="e">
        <f>世帯数不詳按分!C47</f>
        <v>#DIV/0!</v>
      </c>
      <c r="C45" s="47" t="e">
        <f>世帯数不詳按分!D47</f>
        <v>#DIV/0!</v>
      </c>
      <c r="D45" s="47" t="e">
        <f>世帯数不詳按分!E47</f>
        <v>#DIV/0!</v>
      </c>
      <c r="E45" s="47" t="e">
        <f>世帯数不詳按分!F47</f>
        <v>#DIV/0!</v>
      </c>
      <c r="F45" s="47" t="e">
        <f>世帯数不詳按分!G47</f>
        <v>#DIV/0!</v>
      </c>
      <c r="G45" s="47"/>
      <c r="H45" s="47" t="e">
        <f>世帯数不詳按分!B47</f>
        <v>#DIV/0!</v>
      </c>
      <c r="I45" s="47"/>
      <c r="K45" s="37" t="s">
        <v>122</v>
      </c>
      <c r="L45" s="38" t="e">
        <f t="shared" si="23"/>
        <v>#VALUE!</v>
      </c>
      <c r="M45" s="38" t="e">
        <f t="shared" si="18"/>
        <v>#VALUE!</v>
      </c>
      <c r="N45" s="38" t="e">
        <f t="shared" si="19"/>
        <v>#VALUE!</v>
      </c>
      <c r="O45" s="38" t="e">
        <f t="shared" si="20"/>
        <v>#VALUE!</v>
      </c>
      <c r="P45" s="38">
        <f t="shared" si="21"/>
        <v>0</v>
      </c>
      <c r="Q45" s="38"/>
      <c r="R45" s="38" t="e">
        <f t="shared" si="22"/>
        <v>#VALUE!</v>
      </c>
      <c r="S45" s="38"/>
      <c r="U45" s="40" t="e">
        <f>将来人口!$D6*世帯主率推計!M40</f>
        <v>#VALUE!</v>
      </c>
      <c r="V45" s="40" t="e">
        <f>将来人口!$D6*世帯主率推計!N40</f>
        <v>#VALUE!</v>
      </c>
      <c r="W45" s="40" t="e">
        <f>将来人口!$D6*世帯主率推計!O40</f>
        <v>#VALUE!</v>
      </c>
      <c r="X45" s="40" t="e">
        <f>将来人口!$D6*世帯主率推計!P40</f>
        <v>#VALUE!</v>
      </c>
      <c r="Y45" s="40">
        <f>将来人口!$D6*世帯主率推計!Q40</f>
        <v>0</v>
      </c>
    </row>
    <row r="46" spans="1:25" x14ac:dyDescent="0.4">
      <c r="A46" s="45" t="str">
        <f>世帯数不詳按分!A48</f>
        <v>35~39</v>
      </c>
      <c r="B46" s="47" t="e">
        <f>世帯数不詳按分!C48</f>
        <v>#DIV/0!</v>
      </c>
      <c r="C46" s="47" t="e">
        <f>世帯数不詳按分!D48</f>
        <v>#DIV/0!</v>
      </c>
      <c r="D46" s="47" t="e">
        <f>世帯数不詳按分!E48</f>
        <v>#DIV/0!</v>
      </c>
      <c r="E46" s="47" t="e">
        <f>世帯数不詳按分!F48</f>
        <v>#DIV/0!</v>
      </c>
      <c r="F46" s="47" t="e">
        <f>世帯数不詳按分!G48</f>
        <v>#DIV/0!</v>
      </c>
      <c r="G46" s="47"/>
      <c r="H46" s="47" t="e">
        <f>世帯数不詳按分!B48</f>
        <v>#DIV/0!</v>
      </c>
      <c r="I46" s="47"/>
      <c r="K46" s="37" t="s">
        <v>123</v>
      </c>
      <c r="L46" s="38" t="e">
        <f t="shared" si="23"/>
        <v>#VALUE!</v>
      </c>
      <c r="M46" s="38" t="e">
        <f t="shared" si="18"/>
        <v>#VALUE!</v>
      </c>
      <c r="N46" s="38" t="e">
        <f t="shared" si="19"/>
        <v>#VALUE!</v>
      </c>
      <c r="O46" s="38" t="e">
        <f t="shared" si="20"/>
        <v>#VALUE!</v>
      </c>
      <c r="P46" s="38">
        <f t="shared" si="21"/>
        <v>0</v>
      </c>
      <c r="Q46" s="38"/>
      <c r="R46" s="38" t="e">
        <f t="shared" si="22"/>
        <v>#VALUE!</v>
      </c>
      <c r="S46" s="38"/>
      <c r="U46" s="40" t="e">
        <f>将来人口!$D7*世帯主率推計!M41</f>
        <v>#VALUE!</v>
      </c>
      <c r="V46" s="40" t="e">
        <f>将来人口!$D7*世帯主率推計!N41</f>
        <v>#VALUE!</v>
      </c>
      <c r="W46" s="40" t="e">
        <f>将来人口!$D7*世帯主率推計!O41</f>
        <v>#VALUE!</v>
      </c>
      <c r="X46" s="40" t="e">
        <f>将来人口!$D7*世帯主率推計!P41</f>
        <v>#VALUE!</v>
      </c>
      <c r="Y46" s="40">
        <f>将来人口!$D7*世帯主率推計!Q41</f>
        <v>0</v>
      </c>
    </row>
    <row r="47" spans="1:25" x14ac:dyDescent="0.4">
      <c r="A47" s="45" t="str">
        <f>世帯数不詳按分!A49</f>
        <v>40~44</v>
      </c>
      <c r="B47" s="47" t="e">
        <f>世帯数不詳按分!C49</f>
        <v>#DIV/0!</v>
      </c>
      <c r="C47" s="47" t="e">
        <f>世帯数不詳按分!D49</f>
        <v>#DIV/0!</v>
      </c>
      <c r="D47" s="47" t="e">
        <f>世帯数不詳按分!E49</f>
        <v>#DIV/0!</v>
      </c>
      <c r="E47" s="47" t="e">
        <f>世帯数不詳按分!F49</f>
        <v>#DIV/0!</v>
      </c>
      <c r="F47" s="47" t="e">
        <f>世帯数不詳按分!G49</f>
        <v>#DIV/0!</v>
      </c>
      <c r="G47" s="47"/>
      <c r="H47" s="47" t="e">
        <f>世帯数不詳按分!B49</f>
        <v>#DIV/0!</v>
      </c>
      <c r="I47" s="47"/>
      <c r="K47" s="37" t="s">
        <v>124</v>
      </c>
      <c r="L47" s="38" t="e">
        <f t="shared" si="23"/>
        <v>#VALUE!</v>
      </c>
      <c r="M47" s="38" t="e">
        <f t="shared" si="18"/>
        <v>#VALUE!</v>
      </c>
      <c r="N47" s="38" t="e">
        <f t="shared" si="19"/>
        <v>#VALUE!</v>
      </c>
      <c r="O47" s="38" t="e">
        <f t="shared" si="20"/>
        <v>#VALUE!</v>
      </c>
      <c r="P47" s="38">
        <f t="shared" si="21"/>
        <v>0</v>
      </c>
      <c r="Q47" s="38"/>
      <c r="R47" s="38" t="e">
        <f t="shared" si="22"/>
        <v>#VALUE!</v>
      </c>
      <c r="S47" s="38"/>
      <c r="U47" s="40" t="e">
        <f>将来人口!$D8*世帯主率推計!M42</f>
        <v>#VALUE!</v>
      </c>
      <c r="V47" s="40" t="e">
        <f>将来人口!$D8*世帯主率推計!N42</f>
        <v>#VALUE!</v>
      </c>
      <c r="W47" s="40" t="e">
        <f>将来人口!$D8*世帯主率推計!O42</f>
        <v>#VALUE!</v>
      </c>
      <c r="X47" s="40" t="e">
        <f>将来人口!$D8*世帯主率推計!P42</f>
        <v>#VALUE!</v>
      </c>
      <c r="Y47" s="40">
        <f>将来人口!$D8*世帯主率推計!Q42</f>
        <v>0</v>
      </c>
    </row>
    <row r="48" spans="1:25" x14ac:dyDescent="0.4">
      <c r="A48" s="45" t="str">
        <f>世帯数不詳按分!A50</f>
        <v>45~49</v>
      </c>
      <c r="B48" s="47" t="e">
        <f>世帯数不詳按分!C50</f>
        <v>#DIV/0!</v>
      </c>
      <c r="C48" s="47" t="e">
        <f>世帯数不詳按分!D50</f>
        <v>#DIV/0!</v>
      </c>
      <c r="D48" s="47" t="e">
        <f>世帯数不詳按分!E50</f>
        <v>#DIV/0!</v>
      </c>
      <c r="E48" s="47" t="e">
        <f>世帯数不詳按分!F50</f>
        <v>#DIV/0!</v>
      </c>
      <c r="F48" s="47" t="e">
        <f>世帯数不詳按分!G50</f>
        <v>#DIV/0!</v>
      </c>
      <c r="G48" s="47"/>
      <c r="H48" s="47" t="e">
        <f>世帯数不詳按分!B50</f>
        <v>#DIV/0!</v>
      </c>
      <c r="I48" s="47"/>
      <c r="K48" s="37" t="s">
        <v>125</v>
      </c>
      <c r="L48" s="38" t="e">
        <f t="shared" si="23"/>
        <v>#VALUE!</v>
      </c>
      <c r="M48" s="38" t="e">
        <f t="shared" si="18"/>
        <v>#VALUE!</v>
      </c>
      <c r="N48" s="38" t="e">
        <f t="shared" si="19"/>
        <v>#VALUE!</v>
      </c>
      <c r="O48" s="38" t="e">
        <f t="shared" si="20"/>
        <v>#VALUE!</v>
      </c>
      <c r="P48" s="38">
        <f t="shared" si="21"/>
        <v>0</v>
      </c>
      <c r="Q48" s="38"/>
      <c r="R48" s="38" t="e">
        <f t="shared" si="22"/>
        <v>#VALUE!</v>
      </c>
      <c r="S48" s="38"/>
      <c r="U48" s="40" t="e">
        <f>将来人口!$D9*世帯主率推計!M43</f>
        <v>#VALUE!</v>
      </c>
      <c r="V48" s="40" t="e">
        <f>将来人口!$D9*世帯主率推計!N43</f>
        <v>#VALUE!</v>
      </c>
      <c r="W48" s="40" t="e">
        <f>将来人口!$D9*世帯主率推計!O43</f>
        <v>#VALUE!</v>
      </c>
      <c r="X48" s="40" t="e">
        <f>将来人口!$D9*世帯主率推計!P43</f>
        <v>#VALUE!</v>
      </c>
      <c r="Y48" s="40">
        <f>将来人口!$D9*世帯主率推計!Q43</f>
        <v>0</v>
      </c>
    </row>
    <row r="49" spans="1:25" x14ac:dyDescent="0.4">
      <c r="A49" s="45" t="str">
        <f>世帯数不詳按分!A51</f>
        <v>50~54</v>
      </c>
      <c r="B49" s="47" t="e">
        <f>世帯数不詳按分!C51</f>
        <v>#DIV/0!</v>
      </c>
      <c r="C49" s="47" t="e">
        <f>世帯数不詳按分!D51</f>
        <v>#DIV/0!</v>
      </c>
      <c r="D49" s="47" t="e">
        <f>世帯数不詳按分!E51</f>
        <v>#DIV/0!</v>
      </c>
      <c r="E49" s="47" t="e">
        <f>世帯数不詳按分!F51</f>
        <v>#DIV/0!</v>
      </c>
      <c r="F49" s="47" t="e">
        <f>世帯数不詳按分!G51</f>
        <v>#DIV/0!</v>
      </c>
      <c r="G49" s="47"/>
      <c r="H49" s="47" t="e">
        <f>世帯数不詳按分!B51</f>
        <v>#DIV/0!</v>
      </c>
      <c r="I49" s="47"/>
      <c r="K49" s="37" t="s">
        <v>126</v>
      </c>
      <c r="L49" s="38" t="e">
        <f t="shared" si="23"/>
        <v>#VALUE!</v>
      </c>
      <c r="M49" s="38" t="e">
        <f t="shared" si="18"/>
        <v>#VALUE!</v>
      </c>
      <c r="N49" s="38" t="e">
        <f t="shared" si="19"/>
        <v>#VALUE!</v>
      </c>
      <c r="O49" s="38" t="e">
        <f t="shared" si="20"/>
        <v>#VALUE!</v>
      </c>
      <c r="P49" s="38">
        <f t="shared" si="21"/>
        <v>0</v>
      </c>
      <c r="Q49" s="38"/>
      <c r="R49" s="38" t="e">
        <f t="shared" si="22"/>
        <v>#VALUE!</v>
      </c>
      <c r="S49" s="38"/>
      <c r="U49" s="40" t="e">
        <f>将来人口!$D10*世帯主率推計!M44</f>
        <v>#VALUE!</v>
      </c>
      <c r="V49" s="40" t="e">
        <f>将来人口!$D10*世帯主率推計!N44</f>
        <v>#VALUE!</v>
      </c>
      <c r="W49" s="40" t="e">
        <f>将来人口!$D10*世帯主率推計!O44</f>
        <v>#VALUE!</v>
      </c>
      <c r="X49" s="40" t="e">
        <f>将来人口!$D10*世帯主率推計!P44</f>
        <v>#VALUE!</v>
      </c>
      <c r="Y49" s="40">
        <f>将来人口!$D10*世帯主率推計!Q44</f>
        <v>0</v>
      </c>
    </row>
    <row r="50" spans="1:25" x14ac:dyDescent="0.4">
      <c r="A50" s="45" t="str">
        <f>世帯数不詳按分!A52</f>
        <v>55~59</v>
      </c>
      <c r="B50" s="47" t="e">
        <f>世帯数不詳按分!C52</f>
        <v>#DIV/0!</v>
      </c>
      <c r="C50" s="47" t="e">
        <f>世帯数不詳按分!D52</f>
        <v>#DIV/0!</v>
      </c>
      <c r="D50" s="47" t="e">
        <f>世帯数不詳按分!E52</f>
        <v>#DIV/0!</v>
      </c>
      <c r="E50" s="47" t="e">
        <f>世帯数不詳按分!F52</f>
        <v>#DIV/0!</v>
      </c>
      <c r="F50" s="47" t="e">
        <f>世帯数不詳按分!G52</f>
        <v>#DIV/0!</v>
      </c>
      <c r="G50" s="47"/>
      <c r="H50" s="47" t="e">
        <f>世帯数不詳按分!B52</f>
        <v>#DIV/0!</v>
      </c>
      <c r="I50" s="47"/>
      <c r="K50" s="37" t="s">
        <v>127</v>
      </c>
      <c r="L50" s="38" t="e">
        <f t="shared" si="23"/>
        <v>#VALUE!</v>
      </c>
      <c r="M50" s="38" t="e">
        <f t="shared" si="18"/>
        <v>#VALUE!</v>
      </c>
      <c r="N50" s="38" t="e">
        <f t="shared" si="19"/>
        <v>#VALUE!</v>
      </c>
      <c r="O50" s="38" t="e">
        <f t="shared" si="20"/>
        <v>#VALUE!</v>
      </c>
      <c r="P50" s="38">
        <f t="shared" si="21"/>
        <v>0</v>
      </c>
      <c r="Q50" s="38"/>
      <c r="R50" s="38" t="e">
        <f t="shared" si="22"/>
        <v>#VALUE!</v>
      </c>
      <c r="S50" s="38"/>
      <c r="U50" s="40" t="e">
        <f>将来人口!$D11*世帯主率推計!M45</f>
        <v>#VALUE!</v>
      </c>
      <c r="V50" s="40" t="e">
        <f>将来人口!$D11*世帯主率推計!N45</f>
        <v>#VALUE!</v>
      </c>
      <c r="W50" s="40" t="e">
        <f>将来人口!$D11*世帯主率推計!O45</f>
        <v>#VALUE!</v>
      </c>
      <c r="X50" s="40" t="e">
        <f>将来人口!$D11*世帯主率推計!P45</f>
        <v>#VALUE!</v>
      </c>
      <c r="Y50" s="40">
        <f>将来人口!$D11*世帯主率推計!Q45</f>
        <v>0</v>
      </c>
    </row>
    <row r="51" spans="1:25" x14ac:dyDescent="0.4">
      <c r="A51" s="45" t="str">
        <f>世帯数不詳按分!A53</f>
        <v>60~64</v>
      </c>
      <c r="B51" s="47" t="e">
        <f>世帯数不詳按分!C53</f>
        <v>#DIV/0!</v>
      </c>
      <c r="C51" s="47" t="e">
        <f>世帯数不詳按分!D53</f>
        <v>#DIV/0!</v>
      </c>
      <c r="D51" s="47" t="e">
        <f>世帯数不詳按分!E53</f>
        <v>#DIV/0!</v>
      </c>
      <c r="E51" s="47" t="e">
        <f>世帯数不詳按分!F53</f>
        <v>#DIV/0!</v>
      </c>
      <c r="F51" s="47" t="e">
        <f>世帯数不詳按分!G53</f>
        <v>#DIV/0!</v>
      </c>
      <c r="G51" s="47"/>
      <c r="H51" s="47" t="e">
        <f>世帯数不詳按分!B53</f>
        <v>#DIV/0!</v>
      </c>
      <c r="I51" s="47"/>
      <c r="K51" s="37" t="s">
        <v>128</v>
      </c>
      <c r="L51" s="38" t="e">
        <f t="shared" si="23"/>
        <v>#VALUE!</v>
      </c>
      <c r="M51" s="38" t="e">
        <f t="shared" si="18"/>
        <v>#VALUE!</v>
      </c>
      <c r="N51" s="38" t="e">
        <f t="shared" si="19"/>
        <v>#VALUE!</v>
      </c>
      <c r="O51" s="38" t="e">
        <f t="shared" si="20"/>
        <v>#VALUE!</v>
      </c>
      <c r="P51" s="38">
        <f t="shared" si="21"/>
        <v>0</v>
      </c>
      <c r="Q51" s="38"/>
      <c r="R51" s="38" t="e">
        <f t="shared" si="22"/>
        <v>#VALUE!</v>
      </c>
      <c r="S51" s="38"/>
      <c r="U51" s="40" t="e">
        <f>将来人口!$D12*世帯主率推計!M46</f>
        <v>#VALUE!</v>
      </c>
      <c r="V51" s="40" t="e">
        <f>将来人口!$D12*世帯主率推計!N46</f>
        <v>#VALUE!</v>
      </c>
      <c r="W51" s="40" t="e">
        <f>将来人口!$D12*世帯主率推計!O46</f>
        <v>#VALUE!</v>
      </c>
      <c r="X51" s="40" t="e">
        <f>将来人口!$D12*世帯主率推計!P46</f>
        <v>#VALUE!</v>
      </c>
      <c r="Y51" s="40">
        <f>将来人口!$D12*世帯主率推計!Q46</f>
        <v>0</v>
      </c>
    </row>
    <row r="52" spans="1:25" x14ac:dyDescent="0.4">
      <c r="A52" s="45" t="str">
        <f>世帯数不詳按分!A54</f>
        <v>65~69</v>
      </c>
      <c r="B52" s="47" t="e">
        <f>世帯数不詳按分!C54</f>
        <v>#DIV/0!</v>
      </c>
      <c r="C52" s="47" t="e">
        <f>世帯数不詳按分!D54</f>
        <v>#DIV/0!</v>
      </c>
      <c r="D52" s="47" t="e">
        <f>世帯数不詳按分!E54</f>
        <v>#DIV/0!</v>
      </c>
      <c r="E52" s="47" t="e">
        <f>世帯数不詳按分!F54</f>
        <v>#DIV/0!</v>
      </c>
      <c r="F52" s="47" t="e">
        <f>世帯数不詳按分!G54</f>
        <v>#DIV/0!</v>
      </c>
      <c r="G52" s="47"/>
      <c r="H52" s="47" t="e">
        <f>世帯数不詳按分!B54</f>
        <v>#DIV/0!</v>
      </c>
      <c r="I52" s="47"/>
      <c r="K52" s="37" t="s">
        <v>129</v>
      </c>
      <c r="L52" s="38" t="e">
        <f t="shared" si="23"/>
        <v>#VALUE!</v>
      </c>
      <c r="M52" s="38" t="e">
        <f t="shared" si="18"/>
        <v>#VALUE!</v>
      </c>
      <c r="N52" s="38" t="e">
        <f t="shared" si="19"/>
        <v>#VALUE!</v>
      </c>
      <c r="O52" s="38" t="e">
        <f t="shared" si="20"/>
        <v>#VALUE!</v>
      </c>
      <c r="P52" s="38">
        <f t="shared" si="21"/>
        <v>0</v>
      </c>
      <c r="Q52" s="38"/>
      <c r="R52" s="38" t="e">
        <f t="shared" si="22"/>
        <v>#VALUE!</v>
      </c>
      <c r="S52" s="38"/>
      <c r="U52" s="40" t="e">
        <f>将来人口!$D13*世帯主率推計!M47</f>
        <v>#VALUE!</v>
      </c>
      <c r="V52" s="40" t="e">
        <f>将来人口!$D13*世帯主率推計!N47</f>
        <v>#VALUE!</v>
      </c>
      <c r="W52" s="40" t="e">
        <f>将来人口!$D13*世帯主率推計!O47</f>
        <v>#VALUE!</v>
      </c>
      <c r="X52" s="40" t="e">
        <f>将来人口!$D13*世帯主率推計!P47</f>
        <v>#VALUE!</v>
      </c>
      <c r="Y52" s="40">
        <f>将来人口!$D13*世帯主率推計!Q47</f>
        <v>0</v>
      </c>
    </row>
    <row r="53" spans="1:25" x14ac:dyDescent="0.4">
      <c r="A53" s="45" t="str">
        <f>世帯数不詳按分!A55</f>
        <v>70~74</v>
      </c>
      <c r="B53" s="47" t="e">
        <f>世帯数不詳按分!C55</f>
        <v>#DIV/0!</v>
      </c>
      <c r="C53" s="47" t="e">
        <f>世帯数不詳按分!D55</f>
        <v>#DIV/0!</v>
      </c>
      <c r="D53" s="47" t="e">
        <f>世帯数不詳按分!E55</f>
        <v>#DIV/0!</v>
      </c>
      <c r="E53" s="47" t="e">
        <f>世帯数不詳按分!F55</f>
        <v>#DIV/0!</v>
      </c>
      <c r="F53" s="47" t="e">
        <f>世帯数不詳按分!G55</f>
        <v>#DIV/0!</v>
      </c>
      <c r="G53" s="47"/>
      <c r="H53" s="47" t="e">
        <f>世帯数不詳按分!B55</f>
        <v>#DIV/0!</v>
      </c>
      <c r="I53" s="47"/>
      <c r="K53" s="37" t="s">
        <v>130</v>
      </c>
      <c r="L53" s="38" t="e">
        <f t="shared" si="23"/>
        <v>#VALUE!</v>
      </c>
      <c r="M53" s="38" t="e">
        <f t="shared" si="18"/>
        <v>#VALUE!</v>
      </c>
      <c r="N53" s="38" t="e">
        <f t="shared" si="19"/>
        <v>#VALUE!</v>
      </c>
      <c r="O53" s="38" t="e">
        <f t="shared" si="20"/>
        <v>#VALUE!</v>
      </c>
      <c r="P53" s="38">
        <f t="shared" si="21"/>
        <v>0</v>
      </c>
      <c r="Q53" s="38"/>
      <c r="R53" s="38" t="e">
        <f t="shared" si="22"/>
        <v>#VALUE!</v>
      </c>
      <c r="S53" s="38"/>
      <c r="U53" s="40" t="e">
        <f>将来人口!$D14*世帯主率推計!M48</f>
        <v>#VALUE!</v>
      </c>
      <c r="V53" s="40" t="e">
        <f>将来人口!$D14*世帯主率推計!N48</f>
        <v>#VALUE!</v>
      </c>
      <c r="W53" s="40" t="e">
        <f>将来人口!$D14*世帯主率推計!O48</f>
        <v>#VALUE!</v>
      </c>
      <c r="X53" s="40" t="e">
        <f>将来人口!$D14*世帯主率推計!P48</f>
        <v>#VALUE!</v>
      </c>
      <c r="Y53" s="40">
        <f>将来人口!$D14*世帯主率推計!Q48</f>
        <v>0</v>
      </c>
    </row>
    <row r="54" spans="1:25" x14ac:dyDescent="0.4">
      <c r="A54" s="45" t="str">
        <f>世帯数不詳按分!A56</f>
        <v>75~79</v>
      </c>
      <c r="B54" s="47" t="e">
        <f>世帯数不詳按分!C56</f>
        <v>#DIV/0!</v>
      </c>
      <c r="C54" s="47" t="e">
        <f>世帯数不詳按分!D56</f>
        <v>#DIV/0!</v>
      </c>
      <c r="D54" s="47" t="e">
        <f>世帯数不詳按分!E56</f>
        <v>#DIV/0!</v>
      </c>
      <c r="E54" s="47" t="e">
        <f>世帯数不詳按分!F56</f>
        <v>#DIV/0!</v>
      </c>
      <c r="F54" s="47" t="e">
        <f>世帯数不詳按分!G56</f>
        <v>#DIV/0!</v>
      </c>
      <c r="G54" s="47"/>
      <c r="H54" s="47" t="e">
        <f>世帯数不詳按分!B56</f>
        <v>#DIV/0!</v>
      </c>
      <c r="I54" s="47"/>
      <c r="K54" s="37" t="s">
        <v>131</v>
      </c>
      <c r="L54" s="38" t="e">
        <f t="shared" si="23"/>
        <v>#VALUE!</v>
      </c>
      <c r="M54" s="38" t="e">
        <f t="shared" si="18"/>
        <v>#VALUE!</v>
      </c>
      <c r="N54" s="38" t="e">
        <f t="shared" si="19"/>
        <v>#VALUE!</v>
      </c>
      <c r="O54" s="38" t="e">
        <f t="shared" si="20"/>
        <v>#VALUE!</v>
      </c>
      <c r="P54" s="38">
        <f t="shared" si="21"/>
        <v>0</v>
      </c>
      <c r="Q54" s="38"/>
      <c r="R54" s="38" t="e">
        <f t="shared" si="22"/>
        <v>#VALUE!</v>
      </c>
      <c r="S54" s="38"/>
      <c r="U54" s="40" t="e">
        <f>将来人口!$D15*世帯主率推計!M49</f>
        <v>#VALUE!</v>
      </c>
      <c r="V54" s="40" t="e">
        <f>将来人口!$D15*世帯主率推計!N49</f>
        <v>#VALUE!</v>
      </c>
      <c r="W54" s="40" t="e">
        <f>将来人口!$D15*世帯主率推計!O49</f>
        <v>#VALUE!</v>
      </c>
      <c r="X54" s="40" t="e">
        <f>将来人口!$D15*世帯主率推計!P49</f>
        <v>#VALUE!</v>
      </c>
      <c r="Y54" s="40">
        <f>将来人口!$D15*世帯主率推計!Q49</f>
        <v>0</v>
      </c>
    </row>
    <row r="55" spans="1:25" x14ac:dyDescent="0.4">
      <c r="A55" s="45" t="str">
        <f>世帯数不詳按分!A57</f>
        <v>80~84</v>
      </c>
      <c r="B55" s="47" t="e">
        <f>世帯数不詳按分!C57</f>
        <v>#DIV/0!</v>
      </c>
      <c r="C55" s="47" t="e">
        <f>世帯数不詳按分!D57</f>
        <v>#DIV/0!</v>
      </c>
      <c r="D55" s="47" t="e">
        <f>世帯数不詳按分!E57</f>
        <v>#DIV/0!</v>
      </c>
      <c r="E55" s="47" t="e">
        <f>世帯数不詳按分!F57</f>
        <v>#DIV/0!</v>
      </c>
      <c r="F55" s="47" t="e">
        <f>世帯数不詳按分!G57</f>
        <v>#DIV/0!</v>
      </c>
      <c r="G55" s="47"/>
      <c r="H55" s="47" t="e">
        <f>世帯数不詳按分!B57</f>
        <v>#DIV/0!</v>
      </c>
      <c r="I55" s="47"/>
      <c r="K55" s="37" t="s">
        <v>132</v>
      </c>
      <c r="L55" s="38" t="e">
        <f t="shared" si="23"/>
        <v>#VALUE!</v>
      </c>
      <c r="M55" s="38" t="e">
        <f t="shared" si="18"/>
        <v>#VALUE!</v>
      </c>
      <c r="N55" s="38" t="e">
        <f t="shared" si="19"/>
        <v>#VALUE!</v>
      </c>
      <c r="O55" s="38" t="e">
        <f t="shared" si="20"/>
        <v>#VALUE!</v>
      </c>
      <c r="P55" s="38">
        <f t="shared" si="21"/>
        <v>0</v>
      </c>
      <c r="Q55" s="38"/>
      <c r="R55" s="38" t="e">
        <f t="shared" si="22"/>
        <v>#VALUE!</v>
      </c>
      <c r="S55" s="38"/>
      <c r="U55" s="40" t="e">
        <f>将来人口!$D16*世帯主率推計!M50</f>
        <v>#VALUE!</v>
      </c>
      <c r="V55" s="40" t="e">
        <f>将来人口!$D16*世帯主率推計!N50</f>
        <v>#VALUE!</v>
      </c>
      <c r="W55" s="40" t="e">
        <f>将来人口!$D16*世帯主率推計!O50</f>
        <v>#VALUE!</v>
      </c>
      <c r="X55" s="40" t="e">
        <f>将来人口!$D16*世帯主率推計!P50</f>
        <v>#VALUE!</v>
      </c>
      <c r="Y55" s="40">
        <f>将来人口!$D16*世帯主率推計!Q50</f>
        <v>0</v>
      </c>
    </row>
    <row r="56" spans="1:25" x14ac:dyDescent="0.4">
      <c r="A56" s="45" t="str">
        <f>世帯数不詳按分!A58</f>
        <v>85歳以上</v>
      </c>
      <c r="B56" s="47" t="e">
        <f>世帯数不詳按分!C58</f>
        <v>#DIV/0!</v>
      </c>
      <c r="C56" s="47" t="e">
        <f>世帯数不詳按分!D58</f>
        <v>#DIV/0!</v>
      </c>
      <c r="D56" s="47" t="e">
        <f>世帯数不詳按分!E58</f>
        <v>#DIV/0!</v>
      </c>
      <c r="E56" s="47" t="e">
        <f>世帯数不詳按分!F58</f>
        <v>#DIV/0!</v>
      </c>
      <c r="F56" s="47" t="e">
        <f>世帯数不詳按分!G58</f>
        <v>#DIV/0!</v>
      </c>
      <c r="G56" s="47"/>
      <c r="H56" s="47" t="e">
        <f>世帯数不詳按分!B58</f>
        <v>#DIV/0!</v>
      </c>
      <c r="I56" s="47"/>
      <c r="K56" s="37" t="s">
        <v>134</v>
      </c>
      <c r="L56" s="38" t="e">
        <f t="shared" si="23"/>
        <v>#VALUE!</v>
      </c>
      <c r="M56" s="38" t="e">
        <f t="shared" si="18"/>
        <v>#VALUE!</v>
      </c>
      <c r="N56" s="38" t="e">
        <f t="shared" si="19"/>
        <v>#VALUE!</v>
      </c>
      <c r="O56" s="38" t="e">
        <f t="shared" si="20"/>
        <v>#VALUE!</v>
      </c>
      <c r="P56" s="38">
        <f t="shared" si="21"/>
        <v>0</v>
      </c>
      <c r="Q56" s="38"/>
      <c r="R56" s="38" t="e">
        <f t="shared" si="22"/>
        <v>#VALUE!</v>
      </c>
      <c r="S56" s="38"/>
      <c r="U56" s="40" t="e">
        <f>将来人口!$D17*世帯主率推計!M51</f>
        <v>#VALUE!</v>
      </c>
      <c r="V56" s="40" t="e">
        <f>将来人口!$D17*世帯主率推計!N51</f>
        <v>#VALUE!</v>
      </c>
      <c r="W56" s="40" t="e">
        <f>将来人口!$D17*世帯主率推計!O51</f>
        <v>#VALUE!</v>
      </c>
      <c r="X56" s="40" t="e">
        <f>将来人口!$D17*世帯主率推計!P51</f>
        <v>#VALUE!</v>
      </c>
      <c r="Y56" s="40">
        <f>将来人口!$D17*世帯主率推計!Q51</f>
        <v>0</v>
      </c>
    </row>
    <row r="57" spans="1:25" x14ac:dyDescent="0.4">
      <c r="A57" s="45" t="str">
        <f>世帯数不詳按分!A60</f>
        <v>合計</v>
      </c>
      <c r="B57" s="45" t="e">
        <f>世帯数不詳按分!C60</f>
        <v>#DIV/0!</v>
      </c>
      <c r="C57" s="45" t="e">
        <f>世帯数不詳按分!D60</f>
        <v>#DIV/0!</v>
      </c>
      <c r="D57" s="45" t="e">
        <f>世帯数不詳按分!E60</f>
        <v>#DIV/0!</v>
      </c>
      <c r="E57" s="45" t="e">
        <f>世帯数不詳按分!F60</f>
        <v>#DIV/0!</v>
      </c>
      <c r="F57" s="45" t="e">
        <f>世帯数不詳按分!G60</f>
        <v>#DIV/0!</v>
      </c>
      <c r="G57" s="45">
        <f>世帯数不詳按分!H60</f>
        <v>0</v>
      </c>
      <c r="H57" s="45" t="e">
        <f>世帯数不詳按分!B60</f>
        <v>#DIV/0!</v>
      </c>
      <c r="I57" s="45" t="e">
        <f>SUM(G57:H57)</f>
        <v>#DIV/0!</v>
      </c>
      <c r="K57" s="37" t="s">
        <v>135</v>
      </c>
      <c r="L57" s="39" t="e">
        <f t="shared" ref="L57" si="24">SUM(L41:L56)</f>
        <v>#VALUE!</v>
      </c>
      <c r="M57" s="39" t="e">
        <f t="shared" ref="M57" si="25">SUM(M41:M56)</f>
        <v>#VALUE!</v>
      </c>
      <c r="N57" s="39" t="e">
        <f t="shared" ref="N57" si="26">SUM(N41:N56)</f>
        <v>#VALUE!</v>
      </c>
      <c r="O57" s="39" t="e">
        <f t="shared" ref="O57" si="27">SUM(O41:O56)</f>
        <v>#VALUE!</v>
      </c>
      <c r="P57" s="39">
        <f t="shared" ref="P57" si="28">SUM(P41:P56)</f>
        <v>0</v>
      </c>
      <c r="Q57" s="39">
        <f>Q38</f>
        <v>0</v>
      </c>
      <c r="R57" s="39" t="e">
        <f>SUM(R41:R56)</f>
        <v>#VALUE!</v>
      </c>
      <c r="S57" s="39" t="e">
        <f>SUM(L57:Q57)</f>
        <v>#VALUE!</v>
      </c>
    </row>
    <row r="58" spans="1:25" x14ac:dyDescent="0.4">
      <c r="A58" s="30"/>
      <c r="K58" s="54" t="str">
        <f>IF(COUNTIF(U42:Y56,"&lt;0")&lt;&gt;0,"※推計がマイナスとなる場合は0とした","")</f>
        <v/>
      </c>
      <c r="L58" s="54"/>
      <c r="M58" s="54"/>
      <c r="N58" s="54"/>
    </row>
    <row r="59" spans="1:25" x14ac:dyDescent="0.4">
      <c r="A59" s="30"/>
      <c r="K59" s="35" t="s">
        <v>116</v>
      </c>
      <c r="L59" s="36" t="s">
        <v>137</v>
      </c>
      <c r="M59" s="36" t="s">
        <v>106</v>
      </c>
      <c r="N59" s="36" t="s">
        <v>107</v>
      </c>
      <c r="O59" s="36" t="s">
        <v>108</v>
      </c>
      <c r="P59" s="36" t="s">
        <v>138</v>
      </c>
      <c r="Q59" s="36" t="s">
        <v>139</v>
      </c>
      <c r="R59" s="36" t="s">
        <v>136</v>
      </c>
      <c r="S59" s="36" t="s">
        <v>140</v>
      </c>
    </row>
    <row r="60" spans="1:25" x14ac:dyDescent="0.4">
      <c r="A60" s="30"/>
      <c r="K60" s="37" t="s">
        <v>133</v>
      </c>
      <c r="L60" s="38"/>
      <c r="M60" s="38"/>
      <c r="N60" s="38"/>
      <c r="O60" s="38"/>
      <c r="P60" s="38"/>
      <c r="Q60" s="38"/>
      <c r="R60" s="38">
        <v>0</v>
      </c>
      <c r="S60" s="38"/>
    </row>
    <row r="61" spans="1:25" x14ac:dyDescent="0.4">
      <c r="K61" s="37" t="s">
        <v>119</v>
      </c>
      <c r="L61" s="38" t="e">
        <f>IF(U61&lt;0,0,U61)</f>
        <v>#VALUE!</v>
      </c>
      <c r="M61" s="38" t="e">
        <f t="shared" ref="M61:M75" si="29">IF(V61&lt;0,0,V61)</f>
        <v>#VALUE!</v>
      </c>
      <c r="N61" s="38" t="e">
        <f t="shared" ref="N61:N75" si="30">IF(W61&lt;0,0,W61)</f>
        <v>#VALUE!</v>
      </c>
      <c r="O61" s="38" t="e">
        <f t="shared" ref="O61:O75" si="31">IF(X61&lt;0,0,X61)</f>
        <v>#VALUE!</v>
      </c>
      <c r="P61" s="38">
        <f t="shared" ref="P61:P75" si="32">IF(Y61&lt;0,0,Y61)</f>
        <v>0</v>
      </c>
      <c r="Q61" s="38"/>
      <c r="R61" s="38" t="e">
        <f t="shared" ref="R61:R75" si="33">SUM(L61:P61)</f>
        <v>#VALUE!</v>
      </c>
      <c r="S61" s="38"/>
      <c r="U61" s="40" t="e">
        <f>将来人口!$E3*世帯主率推計!M54</f>
        <v>#VALUE!</v>
      </c>
      <c r="V61" s="40" t="e">
        <f>将来人口!$E3*世帯主率推計!N54</f>
        <v>#VALUE!</v>
      </c>
      <c r="W61" s="40" t="e">
        <f>将来人口!$E3*世帯主率推計!O54</f>
        <v>#VALUE!</v>
      </c>
      <c r="X61" s="40" t="e">
        <f>将来人口!$E3*世帯主率推計!P54</f>
        <v>#VALUE!</v>
      </c>
      <c r="Y61" s="40">
        <f>将来人口!$E3*世帯主率推計!Q54</f>
        <v>0</v>
      </c>
    </row>
    <row r="62" spans="1:25" x14ac:dyDescent="0.4">
      <c r="K62" s="37" t="s">
        <v>120</v>
      </c>
      <c r="L62" s="38" t="e">
        <f t="shared" ref="L62:L75" si="34">IF(U62&lt;0,0,U62)</f>
        <v>#VALUE!</v>
      </c>
      <c r="M62" s="38" t="e">
        <f t="shared" si="29"/>
        <v>#VALUE!</v>
      </c>
      <c r="N62" s="38" t="e">
        <f t="shared" si="30"/>
        <v>#VALUE!</v>
      </c>
      <c r="O62" s="38" t="e">
        <f t="shared" si="31"/>
        <v>#VALUE!</v>
      </c>
      <c r="P62" s="38">
        <f t="shared" si="32"/>
        <v>0</v>
      </c>
      <c r="Q62" s="38"/>
      <c r="R62" s="38" t="e">
        <f t="shared" si="33"/>
        <v>#VALUE!</v>
      </c>
      <c r="S62" s="38"/>
      <c r="U62" s="40" t="e">
        <f>将来人口!$E4*世帯主率推計!M55</f>
        <v>#VALUE!</v>
      </c>
      <c r="V62" s="40" t="e">
        <f>将来人口!$E4*世帯主率推計!N55</f>
        <v>#VALUE!</v>
      </c>
      <c r="W62" s="40" t="e">
        <f>将来人口!$E4*世帯主率推計!O55</f>
        <v>#VALUE!</v>
      </c>
      <c r="X62" s="40" t="e">
        <f>将来人口!$E4*世帯主率推計!P55</f>
        <v>#VALUE!</v>
      </c>
      <c r="Y62" s="40">
        <f>将来人口!$E4*世帯主率推計!Q55</f>
        <v>0</v>
      </c>
    </row>
    <row r="63" spans="1:25" x14ac:dyDescent="0.4">
      <c r="K63" s="37" t="s">
        <v>121</v>
      </c>
      <c r="L63" s="38" t="e">
        <f t="shared" si="34"/>
        <v>#VALUE!</v>
      </c>
      <c r="M63" s="38" t="e">
        <f t="shared" si="29"/>
        <v>#VALUE!</v>
      </c>
      <c r="N63" s="38" t="e">
        <f t="shared" si="30"/>
        <v>#VALUE!</v>
      </c>
      <c r="O63" s="38" t="e">
        <f t="shared" si="31"/>
        <v>#VALUE!</v>
      </c>
      <c r="P63" s="38">
        <f t="shared" si="32"/>
        <v>0</v>
      </c>
      <c r="Q63" s="38"/>
      <c r="R63" s="38" t="e">
        <f t="shared" si="33"/>
        <v>#VALUE!</v>
      </c>
      <c r="S63" s="38"/>
      <c r="U63" s="40" t="e">
        <f>将来人口!$E5*世帯主率推計!M56</f>
        <v>#VALUE!</v>
      </c>
      <c r="V63" s="40" t="e">
        <f>将来人口!$E5*世帯主率推計!N56</f>
        <v>#VALUE!</v>
      </c>
      <c r="W63" s="40" t="e">
        <f>将来人口!$E5*世帯主率推計!O56</f>
        <v>#VALUE!</v>
      </c>
      <c r="X63" s="40" t="e">
        <f>将来人口!$E5*世帯主率推計!P56</f>
        <v>#VALUE!</v>
      </c>
      <c r="Y63" s="40">
        <f>将来人口!$E5*世帯主率推計!Q56</f>
        <v>0</v>
      </c>
    </row>
    <row r="64" spans="1:25" x14ac:dyDescent="0.4">
      <c r="K64" s="37" t="s">
        <v>122</v>
      </c>
      <c r="L64" s="38" t="e">
        <f t="shared" si="34"/>
        <v>#VALUE!</v>
      </c>
      <c r="M64" s="38" t="e">
        <f t="shared" si="29"/>
        <v>#VALUE!</v>
      </c>
      <c r="N64" s="38" t="e">
        <f t="shared" si="30"/>
        <v>#VALUE!</v>
      </c>
      <c r="O64" s="38" t="e">
        <f t="shared" si="31"/>
        <v>#VALUE!</v>
      </c>
      <c r="P64" s="38">
        <f t="shared" si="32"/>
        <v>0</v>
      </c>
      <c r="Q64" s="38"/>
      <c r="R64" s="38" t="e">
        <f t="shared" si="33"/>
        <v>#VALUE!</v>
      </c>
      <c r="S64" s="38"/>
      <c r="U64" s="40" t="e">
        <f>将来人口!$E6*世帯主率推計!M57</f>
        <v>#VALUE!</v>
      </c>
      <c r="V64" s="40" t="e">
        <f>将来人口!$E6*世帯主率推計!N57</f>
        <v>#VALUE!</v>
      </c>
      <c r="W64" s="40" t="e">
        <f>将来人口!$E6*世帯主率推計!O57</f>
        <v>#VALUE!</v>
      </c>
      <c r="X64" s="40" t="e">
        <f>将来人口!$E6*世帯主率推計!P57</f>
        <v>#VALUE!</v>
      </c>
      <c r="Y64" s="40">
        <f>将来人口!$E6*世帯主率推計!Q57</f>
        <v>0</v>
      </c>
    </row>
    <row r="65" spans="11:25" x14ac:dyDescent="0.4">
      <c r="K65" s="37" t="s">
        <v>123</v>
      </c>
      <c r="L65" s="38" t="e">
        <f t="shared" si="34"/>
        <v>#VALUE!</v>
      </c>
      <c r="M65" s="38" t="e">
        <f t="shared" si="29"/>
        <v>#VALUE!</v>
      </c>
      <c r="N65" s="38" t="e">
        <f t="shared" si="30"/>
        <v>#VALUE!</v>
      </c>
      <c r="O65" s="38" t="e">
        <f t="shared" si="31"/>
        <v>#VALUE!</v>
      </c>
      <c r="P65" s="38">
        <f t="shared" si="32"/>
        <v>0</v>
      </c>
      <c r="Q65" s="38"/>
      <c r="R65" s="38" t="e">
        <f t="shared" si="33"/>
        <v>#VALUE!</v>
      </c>
      <c r="S65" s="38"/>
      <c r="U65" s="40" t="e">
        <f>将来人口!$E7*世帯主率推計!M58</f>
        <v>#VALUE!</v>
      </c>
      <c r="V65" s="40" t="e">
        <f>将来人口!$E7*世帯主率推計!N58</f>
        <v>#VALUE!</v>
      </c>
      <c r="W65" s="40" t="e">
        <f>将来人口!$E7*世帯主率推計!O58</f>
        <v>#VALUE!</v>
      </c>
      <c r="X65" s="40" t="e">
        <f>将来人口!$E7*世帯主率推計!P58</f>
        <v>#VALUE!</v>
      </c>
      <c r="Y65" s="40">
        <f>将来人口!$E7*世帯主率推計!Q58</f>
        <v>0</v>
      </c>
    </row>
    <row r="66" spans="11:25" x14ac:dyDescent="0.4">
      <c r="K66" s="37" t="s">
        <v>124</v>
      </c>
      <c r="L66" s="38" t="e">
        <f t="shared" si="34"/>
        <v>#VALUE!</v>
      </c>
      <c r="M66" s="38" t="e">
        <f t="shared" si="29"/>
        <v>#VALUE!</v>
      </c>
      <c r="N66" s="38" t="e">
        <f t="shared" si="30"/>
        <v>#VALUE!</v>
      </c>
      <c r="O66" s="38" t="e">
        <f t="shared" si="31"/>
        <v>#VALUE!</v>
      </c>
      <c r="P66" s="38">
        <f t="shared" si="32"/>
        <v>0</v>
      </c>
      <c r="Q66" s="38"/>
      <c r="R66" s="38" t="e">
        <f t="shared" si="33"/>
        <v>#VALUE!</v>
      </c>
      <c r="S66" s="38"/>
      <c r="U66" s="40" t="e">
        <f>将来人口!$E8*世帯主率推計!M59</f>
        <v>#VALUE!</v>
      </c>
      <c r="V66" s="40" t="e">
        <f>将来人口!$E8*世帯主率推計!N59</f>
        <v>#VALUE!</v>
      </c>
      <c r="W66" s="40" t="e">
        <f>将来人口!$E8*世帯主率推計!O59</f>
        <v>#VALUE!</v>
      </c>
      <c r="X66" s="40" t="e">
        <f>将来人口!$E8*世帯主率推計!P59</f>
        <v>#VALUE!</v>
      </c>
      <c r="Y66" s="40">
        <f>将来人口!$E8*世帯主率推計!Q59</f>
        <v>0</v>
      </c>
    </row>
    <row r="67" spans="11:25" x14ac:dyDescent="0.4">
      <c r="K67" s="37" t="s">
        <v>125</v>
      </c>
      <c r="L67" s="38" t="e">
        <f t="shared" si="34"/>
        <v>#VALUE!</v>
      </c>
      <c r="M67" s="38" t="e">
        <f t="shared" si="29"/>
        <v>#VALUE!</v>
      </c>
      <c r="N67" s="38" t="e">
        <f t="shared" si="30"/>
        <v>#VALUE!</v>
      </c>
      <c r="O67" s="38" t="e">
        <f t="shared" si="31"/>
        <v>#VALUE!</v>
      </c>
      <c r="P67" s="38">
        <f t="shared" si="32"/>
        <v>0</v>
      </c>
      <c r="Q67" s="38"/>
      <c r="R67" s="38" t="e">
        <f t="shared" si="33"/>
        <v>#VALUE!</v>
      </c>
      <c r="S67" s="38"/>
      <c r="U67" s="40" t="e">
        <f>将来人口!$E9*世帯主率推計!M60</f>
        <v>#VALUE!</v>
      </c>
      <c r="V67" s="40" t="e">
        <f>将来人口!$E9*世帯主率推計!N60</f>
        <v>#VALUE!</v>
      </c>
      <c r="W67" s="40" t="e">
        <f>将来人口!$E9*世帯主率推計!O60</f>
        <v>#VALUE!</v>
      </c>
      <c r="X67" s="40" t="e">
        <f>将来人口!$E9*世帯主率推計!P60</f>
        <v>#VALUE!</v>
      </c>
      <c r="Y67" s="40">
        <f>将来人口!$E9*世帯主率推計!Q60</f>
        <v>0</v>
      </c>
    </row>
    <row r="68" spans="11:25" x14ac:dyDescent="0.4">
      <c r="K68" s="37" t="s">
        <v>126</v>
      </c>
      <c r="L68" s="38" t="e">
        <f t="shared" si="34"/>
        <v>#VALUE!</v>
      </c>
      <c r="M68" s="38" t="e">
        <f t="shared" si="29"/>
        <v>#VALUE!</v>
      </c>
      <c r="N68" s="38" t="e">
        <f t="shared" si="30"/>
        <v>#VALUE!</v>
      </c>
      <c r="O68" s="38" t="e">
        <f t="shared" si="31"/>
        <v>#VALUE!</v>
      </c>
      <c r="P68" s="38">
        <f t="shared" si="32"/>
        <v>0</v>
      </c>
      <c r="Q68" s="38"/>
      <c r="R68" s="38" t="e">
        <f t="shared" si="33"/>
        <v>#VALUE!</v>
      </c>
      <c r="S68" s="38"/>
      <c r="U68" s="40" t="e">
        <f>将来人口!$E10*世帯主率推計!M61</f>
        <v>#VALUE!</v>
      </c>
      <c r="V68" s="40" t="e">
        <f>将来人口!$E10*世帯主率推計!N61</f>
        <v>#VALUE!</v>
      </c>
      <c r="W68" s="40" t="e">
        <f>将来人口!$E10*世帯主率推計!O61</f>
        <v>#VALUE!</v>
      </c>
      <c r="X68" s="40" t="e">
        <f>将来人口!$E10*世帯主率推計!P61</f>
        <v>#VALUE!</v>
      </c>
      <c r="Y68" s="40">
        <f>将来人口!$E10*世帯主率推計!Q61</f>
        <v>0</v>
      </c>
    </row>
    <row r="69" spans="11:25" x14ac:dyDescent="0.4">
      <c r="K69" s="37" t="s">
        <v>127</v>
      </c>
      <c r="L69" s="38" t="e">
        <f t="shared" si="34"/>
        <v>#VALUE!</v>
      </c>
      <c r="M69" s="38" t="e">
        <f t="shared" si="29"/>
        <v>#VALUE!</v>
      </c>
      <c r="N69" s="38" t="e">
        <f t="shared" si="30"/>
        <v>#VALUE!</v>
      </c>
      <c r="O69" s="38" t="e">
        <f t="shared" si="31"/>
        <v>#VALUE!</v>
      </c>
      <c r="P69" s="38">
        <f t="shared" si="32"/>
        <v>0</v>
      </c>
      <c r="Q69" s="38"/>
      <c r="R69" s="38" t="e">
        <f t="shared" si="33"/>
        <v>#VALUE!</v>
      </c>
      <c r="S69" s="38"/>
      <c r="U69" s="40" t="e">
        <f>将来人口!$E11*世帯主率推計!M62</f>
        <v>#VALUE!</v>
      </c>
      <c r="V69" s="40" t="e">
        <f>将来人口!$E11*世帯主率推計!N62</f>
        <v>#VALUE!</v>
      </c>
      <c r="W69" s="40" t="e">
        <f>将来人口!$E11*世帯主率推計!O62</f>
        <v>#VALUE!</v>
      </c>
      <c r="X69" s="40" t="e">
        <f>将来人口!$E11*世帯主率推計!P62</f>
        <v>#VALUE!</v>
      </c>
      <c r="Y69" s="40">
        <f>将来人口!$E11*世帯主率推計!Q62</f>
        <v>0</v>
      </c>
    </row>
    <row r="70" spans="11:25" x14ac:dyDescent="0.4">
      <c r="K70" s="37" t="s">
        <v>128</v>
      </c>
      <c r="L70" s="38" t="e">
        <f t="shared" si="34"/>
        <v>#VALUE!</v>
      </c>
      <c r="M70" s="38" t="e">
        <f t="shared" si="29"/>
        <v>#VALUE!</v>
      </c>
      <c r="N70" s="38" t="e">
        <f t="shared" si="30"/>
        <v>#VALUE!</v>
      </c>
      <c r="O70" s="38" t="e">
        <f t="shared" si="31"/>
        <v>#VALUE!</v>
      </c>
      <c r="P70" s="38">
        <f t="shared" si="32"/>
        <v>0</v>
      </c>
      <c r="Q70" s="38"/>
      <c r="R70" s="38" t="e">
        <f t="shared" si="33"/>
        <v>#VALUE!</v>
      </c>
      <c r="S70" s="38"/>
      <c r="U70" s="40" t="e">
        <f>将来人口!$E12*世帯主率推計!M63</f>
        <v>#VALUE!</v>
      </c>
      <c r="V70" s="40" t="e">
        <f>将来人口!$E12*世帯主率推計!N63</f>
        <v>#VALUE!</v>
      </c>
      <c r="W70" s="40" t="e">
        <f>将来人口!$E12*世帯主率推計!O63</f>
        <v>#VALUE!</v>
      </c>
      <c r="X70" s="40" t="e">
        <f>将来人口!$E12*世帯主率推計!P63</f>
        <v>#VALUE!</v>
      </c>
      <c r="Y70" s="40">
        <f>将来人口!$E12*世帯主率推計!Q63</f>
        <v>0</v>
      </c>
    </row>
    <row r="71" spans="11:25" x14ac:dyDescent="0.4">
      <c r="K71" s="37" t="s">
        <v>129</v>
      </c>
      <c r="L71" s="38" t="e">
        <f t="shared" si="34"/>
        <v>#VALUE!</v>
      </c>
      <c r="M71" s="38" t="e">
        <f t="shared" si="29"/>
        <v>#VALUE!</v>
      </c>
      <c r="N71" s="38" t="e">
        <f t="shared" si="30"/>
        <v>#VALUE!</v>
      </c>
      <c r="O71" s="38" t="e">
        <f t="shared" si="31"/>
        <v>#VALUE!</v>
      </c>
      <c r="P71" s="38">
        <f t="shared" si="32"/>
        <v>0</v>
      </c>
      <c r="Q71" s="38"/>
      <c r="R71" s="38" t="e">
        <f t="shared" si="33"/>
        <v>#VALUE!</v>
      </c>
      <c r="S71" s="38"/>
      <c r="U71" s="40" t="e">
        <f>将来人口!$E13*世帯主率推計!M64</f>
        <v>#VALUE!</v>
      </c>
      <c r="V71" s="40" t="e">
        <f>将来人口!$E13*世帯主率推計!N64</f>
        <v>#VALUE!</v>
      </c>
      <c r="W71" s="40" t="e">
        <f>将来人口!$E13*世帯主率推計!O64</f>
        <v>#VALUE!</v>
      </c>
      <c r="X71" s="40" t="e">
        <f>将来人口!$E13*世帯主率推計!P64</f>
        <v>#VALUE!</v>
      </c>
      <c r="Y71" s="40">
        <f>将来人口!$E13*世帯主率推計!Q64</f>
        <v>0</v>
      </c>
    </row>
    <row r="72" spans="11:25" x14ac:dyDescent="0.4">
      <c r="K72" s="37" t="s">
        <v>130</v>
      </c>
      <c r="L72" s="38" t="e">
        <f t="shared" si="34"/>
        <v>#VALUE!</v>
      </c>
      <c r="M72" s="38" t="e">
        <f t="shared" si="29"/>
        <v>#VALUE!</v>
      </c>
      <c r="N72" s="38" t="e">
        <f t="shared" si="30"/>
        <v>#VALUE!</v>
      </c>
      <c r="O72" s="38" t="e">
        <f t="shared" si="31"/>
        <v>#VALUE!</v>
      </c>
      <c r="P72" s="38">
        <f t="shared" si="32"/>
        <v>0</v>
      </c>
      <c r="Q72" s="38"/>
      <c r="R72" s="38" t="e">
        <f t="shared" si="33"/>
        <v>#VALUE!</v>
      </c>
      <c r="S72" s="38"/>
      <c r="U72" s="40" t="e">
        <f>将来人口!$E14*世帯主率推計!M65</f>
        <v>#VALUE!</v>
      </c>
      <c r="V72" s="40" t="e">
        <f>将来人口!$E14*世帯主率推計!N65</f>
        <v>#VALUE!</v>
      </c>
      <c r="W72" s="40" t="e">
        <f>将来人口!$E14*世帯主率推計!O65</f>
        <v>#VALUE!</v>
      </c>
      <c r="X72" s="40" t="e">
        <f>将来人口!$E14*世帯主率推計!P65</f>
        <v>#VALUE!</v>
      </c>
      <c r="Y72" s="40">
        <f>将来人口!$E14*世帯主率推計!Q65</f>
        <v>0</v>
      </c>
    </row>
    <row r="73" spans="11:25" x14ac:dyDescent="0.4">
      <c r="K73" s="37" t="s">
        <v>131</v>
      </c>
      <c r="L73" s="38" t="e">
        <f t="shared" si="34"/>
        <v>#VALUE!</v>
      </c>
      <c r="M73" s="38" t="e">
        <f t="shared" si="29"/>
        <v>#VALUE!</v>
      </c>
      <c r="N73" s="38" t="e">
        <f t="shared" si="30"/>
        <v>#VALUE!</v>
      </c>
      <c r="O73" s="38" t="e">
        <f t="shared" si="31"/>
        <v>#VALUE!</v>
      </c>
      <c r="P73" s="38">
        <f t="shared" si="32"/>
        <v>0</v>
      </c>
      <c r="Q73" s="38"/>
      <c r="R73" s="38" t="e">
        <f t="shared" si="33"/>
        <v>#VALUE!</v>
      </c>
      <c r="S73" s="38"/>
      <c r="U73" s="40" t="e">
        <f>将来人口!$E15*世帯主率推計!M66</f>
        <v>#VALUE!</v>
      </c>
      <c r="V73" s="40" t="e">
        <f>将来人口!$E15*世帯主率推計!N66</f>
        <v>#VALUE!</v>
      </c>
      <c r="W73" s="40" t="e">
        <f>将来人口!$E15*世帯主率推計!O66</f>
        <v>#VALUE!</v>
      </c>
      <c r="X73" s="40" t="e">
        <f>将来人口!$E15*世帯主率推計!P66</f>
        <v>#VALUE!</v>
      </c>
      <c r="Y73" s="40">
        <f>将来人口!$E15*世帯主率推計!Q66</f>
        <v>0</v>
      </c>
    </row>
    <row r="74" spans="11:25" x14ac:dyDescent="0.4">
      <c r="K74" s="37" t="s">
        <v>132</v>
      </c>
      <c r="L74" s="38" t="e">
        <f t="shared" si="34"/>
        <v>#VALUE!</v>
      </c>
      <c r="M74" s="38" t="e">
        <f t="shared" si="29"/>
        <v>#VALUE!</v>
      </c>
      <c r="N74" s="38" t="e">
        <f t="shared" si="30"/>
        <v>#VALUE!</v>
      </c>
      <c r="O74" s="38" t="e">
        <f t="shared" si="31"/>
        <v>#VALUE!</v>
      </c>
      <c r="P74" s="38">
        <f t="shared" si="32"/>
        <v>0</v>
      </c>
      <c r="Q74" s="38"/>
      <c r="R74" s="38" t="e">
        <f t="shared" si="33"/>
        <v>#VALUE!</v>
      </c>
      <c r="S74" s="38"/>
      <c r="U74" s="40" t="e">
        <f>将来人口!$E16*世帯主率推計!M67</f>
        <v>#VALUE!</v>
      </c>
      <c r="V74" s="40" t="e">
        <f>将来人口!$E16*世帯主率推計!N67</f>
        <v>#VALUE!</v>
      </c>
      <c r="W74" s="40" t="e">
        <f>将来人口!$E16*世帯主率推計!O67</f>
        <v>#VALUE!</v>
      </c>
      <c r="X74" s="40" t="e">
        <f>将来人口!$E16*世帯主率推計!P67</f>
        <v>#VALUE!</v>
      </c>
      <c r="Y74" s="40">
        <f>将来人口!$E16*世帯主率推計!Q67</f>
        <v>0</v>
      </c>
    </row>
    <row r="75" spans="11:25" x14ac:dyDescent="0.4">
      <c r="K75" s="37" t="s">
        <v>134</v>
      </c>
      <c r="L75" s="38" t="e">
        <f t="shared" si="34"/>
        <v>#VALUE!</v>
      </c>
      <c r="M75" s="38" t="e">
        <f t="shared" si="29"/>
        <v>#VALUE!</v>
      </c>
      <c r="N75" s="38" t="e">
        <f t="shared" si="30"/>
        <v>#VALUE!</v>
      </c>
      <c r="O75" s="38" t="e">
        <f t="shared" si="31"/>
        <v>#VALUE!</v>
      </c>
      <c r="P75" s="38">
        <f t="shared" si="32"/>
        <v>0</v>
      </c>
      <c r="Q75" s="38"/>
      <c r="R75" s="38" t="e">
        <f t="shared" si="33"/>
        <v>#VALUE!</v>
      </c>
      <c r="S75" s="38"/>
      <c r="U75" s="40" t="e">
        <f>将来人口!$E17*世帯主率推計!M68</f>
        <v>#VALUE!</v>
      </c>
      <c r="V75" s="40" t="e">
        <f>将来人口!$E17*世帯主率推計!N68</f>
        <v>#VALUE!</v>
      </c>
      <c r="W75" s="40" t="e">
        <f>将来人口!$E17*世帯主率推計!O68</f>
        <v>#VALUE!</v>
      </c>
      <c r="X75" s="40" t="e">
        <f>将来人口!$E17*世帯主率推計!P68</f>
        <v>#VALUE!</v>
      </c>
      <c r="Y75" s="40">
        <f>将来人口!$E17*世帯主率推計!Q68</f>
        <v>0</v>
      </c>
    </row>
    <row r="76" spans="11:25" x14ac:dyDescent="0.4">
      <c r="K76" s="37" t="s">
        <v>135</v>
      </c>
      <c r="L76" s="39" t="e">
        <f t="shared" ref="L76" si="35">SUM(L60:L75)</f>
        <v>#VALUE!</v>
      </c>
      <c r="M76" s="39" t="e">
        <f t="shared" ref="M76" si="36">SUM(M60:M75)</f>
        <v>#VALUE!</v>
      </c>
      <c r="N76" s="39" t="e">
        <f t="shared" ref="N76" si="37">SUM(N60:N75)</f>
        <v>#VALUE!</v>
      </c>
      <c r="O76" s="39" t="e">
        <f t="shared" ref="O76" si="38">SUM(O60:O75)</f>
        <v>#VALUE!</v>
      </c>
      <c r="P76" s="39">
        <f t="shared" ref="P76" si="39">SUM(P60:P75)</f>
        <v>0</v>
      </c>
      <c r="Q76" s="39">
        <f>Q57</f>
        <v>0</v>
      </c>
      <c r="R76" s="39" t="e">
        <f>SUM(R60:R75)</f>
        <v>#VALUE!</v>
      </c>
      <c r="S76" s="39" t="e">
        <f>SUM(L76:Q76)</f>
        <v>#VALUE!</v>
      </c>
    </row>
    <row r="77" spans="11:25" x14ac:dyDescent="0.4">
      <c r="K77" s="54" t="str">
        <f>IF(COUNTIF(U61:Y75,"&lt;0")&lt;&gt;0,"※推計がマイナスとなる場合は0とした","")</f>
        <v/>
      </c>
      <c r="L77" s="54"/>
      <c r="M77" s="54"/>
      <c r="N77" s="54"/>
    </row>
    <row r="78" spans="11:25" x14ac:dyDescent="0.4">
      <c r="K78" s="35" t="s">
        <v>117</v>
      </c>
      <c r="L78" s="36" t="s">
        <v>137</v>
      </c>
      <c r="M78" s="36" t="s">
        <v>106</v>
      </c>
      <c r="N78" s="36" t="s">
        <v>107</v>
      </c>
      <c r="O78" s="36" t="s">
        <v>108</v>
      </c>
      <c r="P78" s="36" t="s">
        <v>138</v>
      </c>
      <c r="Q78" s="36" t="s">
        <v>139</v>
      </c>
      <c r="R78" s="36" t="s">
        <v>136</v>
      </c>
      <c r="S78" s="36" t="s">
        <v>140</v>
      </c>
    </row>
    <row r="79" spans="11:25" x14ac:dyDescent="0.4">
      <c r="K79" s="37" t="s">
        <v>133</v>
      </c>
      <c r="L79" s="38"/>
      <c r="M79" s="38"/>
      <c r="N79" s="38"/>
      <c r="O79" s="38"/>
      <c r="P79" s="38"/>
      <c r="Q79" s="38"/>
      <c r="R79" s="38">
        <v>0</v>
      </c>
      <c r="S79" s="38"/>
    </row>
    <row r="80" spans="11:25" x14ac:dyDescent="0.4">
      <c r="K80" s="37" t="s">
        <v>119</v>
      </c>
      <c r="L80" s="38" t="e">
        <f>IF(U80&lt;0,0,U80)</f>
        <v>#VALUE!</v>
      </c>
      <c r="M80" s="38" t="e">
        <f t="shared" ref="M80:M94" si="40">IF(V80&lt;0,0,V80)</f>
        <v>#VALUE!</v>
      </c>
      <c r="N80" s="38" t="e">
        <f t="shared" ref="N80:N94" si="41">IF(W80&lt;0,0,W80)</f>
        <v>#VALUE!</v>
      </c>
      <c r="O80" s="38" t="e">
        <f t="shared" ref="O80:O94" si="42">IF(X80&lt;0,0,X80)</f>
        <v>#VALUE!</v>
      </c>
      <c r="P80" s="38">
        <f t="shared" ref="P80:P94" si="43">IF(Y80&lt;0,0,Y80)</f>
        <v>0</v>
      </c>
      <c r="Q80" s="38"/>
      <c r="R80" s="38" t="e">
        <f t="shared" ref="R80:R94" si="44">SUM(L80:P80)</f>
        <v>#VALUE!</v>
      </c>
      <c r="S80" s="38"/>
      <c r="U80" s="40" t="e">
        <f>将来人口!$F3*世帯主率推計!M71</f>
        <v>#VALUE!</v>
      </c>
      <c r="V80" s="40" t="e">
        <f>将来人口!$F3*世帯主率推計!N71</f>
        <v>#VALUE!</v>
      </c>
      <c r="W80" s="40" t="e">
        <f>将来人口!$F3*世帯主率推計!O71</f>
        <v>#VALUE!</v>
      </c>
      <c r="X80" s="40" t="e">
        <f>将来人口!$F3*世帯主率推計!P71</f>
        <v>#VALUE!</v>
      </c>
      <c r="Y80" s="40">
        <f>将来人口!$F3*世帯主率推計!Q71</f>
        <v>0</v>
      </c>
    </row>
    <row r="81" spans="11:25" x14ac:dyDescent="0.4">
      <c r="K81" s="37" t="s">
        <v>120</v>
      </c>
      <c r="L81" s="38" t="e">
        <f t="shared" ref="L81:L94" si="45">IF(U81&lt;0,0,U81)</f>
        <v>#VALUE!</v>
      </c>
      <c r="M81" s="38" t="e">
        <f t="shared" si="40"/>
        <v>#VALUE!</v>
      </c>
      <c r="N81" s="38" t="e">
        <f t="shared" si="41"/>
        <v>#VALUE!</v>
      </c>
      <c r="O81" s="38" t="e">
        <f t="shared" si="42"/>
        <v>#VALUE!</v>
      </c>
      <c r="P81" s="38">
        <f t="shared" si="43"/>
        <v>0</v>
      </c>
      <c r="Q81" s="38"/>
      <c r="R81" s="38" t="e">
        <f t="shared" si="44"/>
        <v>#VALUE!</v>
      </c>
      <c r="S81" s="38"/>
      <c r="U81" s="40" t="e">
        <f>将来人口!$F4*世帯主率推計!M72</f>
        <v>#VALUE!</v>
      </c>
      <c r="V81" s="40" t="e">
        <f>将来人口!$F4*世帯主率推計!N72</f>
        <v>#VALUE!</v>
      </c>
      <c r="W81" s="40" t="e">
        <f>将来人口!$F4*世帯主率推計!O72</f>
        <v>#VALUE!</v>
      </c>
      <c r="X81" s="40" t="e">
        <f>将来人口!$F4*世帯主率推計!P72</f>
        <v>#VALUE!</v>
      </c>
      <c r="Y81" s="40">
        <f>将来人口!$F4*世帯主率推計!Q72</f>
        <v>0</v>
      </c>
    </row>
    <row r="82" spans="11:25" x14ac:dyDescent="0.4">
      <c r="K82" s="37" t="s">
        <v>121</v>
      </c>
      <c r="L82" s="38" t="e">
        <f t="shared" si="45"/>
        <v>#VALUE!</v>
      </c>
      <c r="M82" s="38" t="e">
        <f t="shared" si="40"/>
        <v>#VALUE!</v>
      </c>
      <c r="N82" s="38" t="e">
        <f t="shared" si="41"/>
        <v>#VALUE!</v>
      </c>
      <c r="O82" s="38" t="e">
        <f t="shared" si="42"/>
        <v>#VALUE!</v>
      </c>
      <c r="P82" s="38">
        <f t="shared" si="43"/>
        <v>0</v>
      </c>
      <c r="Q82" s="38"/>
      <c r="R82" s="38" t="e">
        <f t="shared" si="44"/>
        <v>#VALUE!</v>
      </c>
      <c r="S82" s="38"/>
      <c r="U82" s="40" t="e">
        <f>将来人口!$F5*世帯主率推計!M73</f>
        <v>#VALUE!</v>
      </c>
      <c r="V82" s="40" t="e">
        <f>将来人口!$F5*世帯主率推計!N73</f>
        <v>#VALUE!</v>
      </c>
      <c r="W82" s="40" t="e">
        <f>将来人口!$F5*世帯主率推計!O73</f>
        <v>#VALUE!</v>
      </c>
      <c r="X82" s="40" t="e">
        <f>将来人口!$F5*世帯主率推計!P73</f>
        <v>#VALUE!</v>
      </c>
      <c r="Y82" s="40">
        <f>将来人口!$F5*世帯主率推計!Q73</f>
        <v>0</v>
      </c>
    </row>
    <row r="83" spans="11:25" x14ac:dyDescent="0.4">
      <c r="K83" s="37" t="s">
        <v>122</v>
      </c>
      <c r="L83" s="38" t="e">
        <f t="shared" si="45"/>
        <v>#VALUE!</v>
      </c>
      <c r="M83" s="38" t="e">
        <f t="shared" si="40"/>
        <v>#VALUE!</v>
      </c>
      <c r="N83" s="38" t="e">
        <f t="shared" si="41"/>
        <v>#VALUE!</v>
      </c>
      <c r="O83" s="38" t="e">
        <f t="shared" si="42"/>
        <v>#VALUE!</v>
      </c>
      <c r="P83" s="38">
        <f t="shared" si="43"/>
        <v>0</v>
      </c>
      <c r="Q83" s="38"/>
      <c r="R83" s="38" t="e">
        <f t="shared" si="44"/>
        <v>#VALUE!</v>
      </c>
      <c r="S83" s="38"/>
      <c r="U83" s="40" t="e">
        <f>将来人口!$F6*世帯主率推計!M74</f>
        <v>#VALUE!</v>
      </c>
      <c r="V83" s="40" t="e">
        <f>将来人口!$F6*世帯主率推計!N74</f>
        <v>#VALUE!</v>
      </c>
      <c r="W83" s="40" t="e">
        <f>将来人口!$F6*世帯主率推計!O74</f>
        <v>#VALUE!</v>
      </c>
      <c r="X83" s="40" t="e">
        <f>将来人口!$F6*世帯主率推計!P74</f>
        <v>#VALUE!</v>
      </c>
      <c r="Y83" s="40">
        <f>将来人口!$F6*世帯主率推計!Q74</f>
        <v>0</v>
      </c>
    </row>
    <row r="84" spans="11:25" x14ac:dyDescent="0.4">
      <c r="K84" s="37" t="s">
        <v>123</v>
      </c>
      <c r="L84" s="38" t="e">
        <f t="shared" si="45"/>
        <v>#VALUE!</v>
      </c>
      <c r="M84" s="38" t="e">
        <f t="shared" si="40"/>
        <v>#VALUE!</v>
      </c>
      <c r="N84" s="38" t="e">
        <f t="shared" si="41"/>
        <v>#VALUE!</v>
      </c>
      <c r="O84" s="38" t="e">
        <f t="shared" si="42"/>
        <v>#VALUE!</v>
      </c>
      <c r="P84" s="38">
        <f t="shared" si="43"/>
        <v>0</v>
      </c>
      <c r="Q84" s="38"/>
      <c r="R84" s="38" t="e">
        <f t="shared" si="44"/>
        <v>#VALUE!</v>
      </c>
      <c r="S84" s="38"/>
      <c r="U84" s="40" t="e">
        <f>将来人口!$F7*世帯主率推計!M75</f>
        <v>#VALUE!</v>
      </c>
      <c r="V84" s="40" t="e">
        <f>将来人口!$F7*世帯主率推計!N75</f>
        <v>#VALUE!</v>
      </c>
      <c r="W84" s="40" t="e">
        <f>将来人口!$F7*世帯主率推計!O75</f>
        <v>#VALUE!</v>
      </c>
      <c r="X84" s="40" t="e">
        <f>将来人口!$F7*世帯主率推計!P75</f>
        <v>#VALUE!</v>
      </c>
      <c r="Y84" s="40">
        <f>将来人口!$F7*世帯主率推計!Q75</f>
        <v>0</v>
      </c>
    </row>
    <row r="85" spans="11:25" x14ac:dyDescent="0.4">
      <c r="K85" s="37" t="s">
        <v>124</v>
      </c>
      <c r="L85" s="38" t="e">
        <f t="shared" si="45"/>
        <v>#VALUE!</v>
      </c>
      <c r="M85" s="38" t="e">
        <f t="shared" si="40"/>
        <v>#VALUE!</v>
      </c>
      <c r="N85" s="38" t="e">
        <f t="shared" si="41"/>
        <v>#VALUE!</v>
      </c>
      <c r="O85" s="38" t="e">
        <f t="shared" si="42"/>
        <v>#VALUE!</v>
      </c>
      <c r="P85" s="38">
        <f t="shared" si="43"/>
        <v>0</v>
      </c>
      <c r="Q85" s="38"/>
      <c r="R85" s="38" t="e">
        <f t="shared" si="44"/>
        <v>#VALUE!</v>
      </c>
      <c r="S85" s="38"/>
      <c r="U85" s="40" t="e">
        <f>将来人口!$F8*世帯主率推計!M76</f>
        <v>#VALUE!</v>
      </c>
      <c r="V85" s="40" t="e">
        <f>将来人口!$F8*世帯主率推計!N76</f>
        <v>#VALUE!</v>
      </c>
      <c r="W85" s="40" t="e">
        <f>将来人口!$F8*世帯主率推計!O76</f>
        <v>#VALUE!</v>
      </c>
      <c r="X85" s="40" t="e">
        <f>将来人口!$F8*世帯主率推計!P76</f>
        <v>#VALUE!</v>
      </c>
      <c r="Y85" s="40">
        <f>将来人口!$F8*世帯主率推計!Q76</f>
        <v>0</v>
      </c>
    </row>
    <row r="86" spans="11:25" x14ac:dyDescent="0.4">
      <c r="K86" s="37" t="s">
        <v>125</v>
      </c>
      <c r="L86" s="38" t="e">
        <f t="shared" si="45"/>
        <v>#VALUE!</v>
      </c>
      <c r="M86" s="38" t="e">
        <f t="shared" si="40"/>
        <v>#VALUE!</v>
      </c>
      <c r="N86" s="38" t="e">
        <f t="shared" si="41"/>
        <v>#VALUE!</v>
      </c>
      <c r="O86" s="38" t="e">
        <f t="shared" si="42"/>
        <v>#VALUE!</v>
      </c>
      <c r="P86" s="38">
        <f t="shared" si="43"/>
        <v>0</v>
      </c>
      <c r="Q86" s="38"/>
      <c r="R86" s="38" t="e">
        <f t="shared" si="44"/>
        <v>#VALUE!</v>
      </c>
      <c r="S86" s="38"/>
      <c r="U86" s="40" t="e">
        <f>将来人口!$F9*世帯主率推計!M77</f>
        <v>#VALUE!</v>
      </c>
      <c r="V86" s="40" t="e">
        <f>将来人口!$F9*世帯主率推計!N77</f>
        <v>#VALUE!</v>
      </c>
      <c r="W86" s="40" t="e">
        <f>将来人口!$F9*世帯主率推計!O77</f>
        <v>#VALUE!</v>
      </c>
      <c r="X86" s="40" t="e">
        <f>将来人口!$F9*世帯主率推計!P77</f>
        <v>#VALUE!</v>
      </c>
      <c r="Y86" s="40">
        <f>将来人口!$F9*世帯主率推計!Q77</f>
        <v>0</v>
      </c>
    </row>
    <row r="87" spans="11:25" x14ac:dyDescent="0.4">
      <c r="K87" s="37" t="s">
        <v>126</v>
      </c>
      <c r="L87" s="38" t="e">
        <f t="shared" si="45"/>
        <v>#VALUE!</v>
      </c>
      <c r="M87" s="38" t="e">
        <f t="shared" si="40"/>
        <v>#VALUE!</v>
      </c>
      <c r="N87" s="38" t="e">
        <f t="shared" si="41"/>
        <v>#VALUE!</v>
      </c>
      <c r="O87" s="38" t="e">
        <f t="shared" si="42"/>
        <v>#VALUE!</v>
      </c>
      <c r="P87" s="38">
        <f t="shared" si="43"/>
        <v>0</v>
      </c>
      <c r="Q87" s="38"/>
      <c r="R87" s="38" t="e">
        <f t="shared" si="44"/>
        <v>#VALUE!</v>
      </c>
      <c r="S87" s="38"/>
      <c r="U87" s="40" t="e">
        <f>将来人口!$F10*世帯主率推計!M78</f>
        <v>#VALUE!</v>
      </c>
      <c r="V87" s="40" t="e">
        <f>将来人口!$F10*世帯主率推計!N78</f>
        <v>#VALUE!</v>
      </c>
      <c r="W87" s="40" t="e">
        <f>将来人口!$F10*世帯主率推計!O78</f>
        <v>#VALUE!</v>
      </c>
      <c r="X87" s="40" t="e">
        <f>将来人口!$F10*世帯主率推計!P78</f>
        <v>#VALUE!</v>
      </c>
      <c r="Y87" s="40">
        <f>将来人口!$F10*世帯主率推計!Q78</f>
        <v>0</v>
      </c>
    </row>
    <row r="88" spans="11:25" x14ac:dyDescent="0.4">
      <c r="K88" s="37" t="s">
        <v>127</v>
      </c>
      <c r="L88" s="38" t="e">
        <f t="shared" si="45"/>
        <v>#VALUE!</v>
      </c>
      <c r="M88" s="38" t="e">
        <f t="shared" si="40"/>
        <v>#VALUE!</v>
      </c>
      <c r="N88" s="38" t="e">
        <f t="shared" si="41"/>
        <v>#VALUE!</v>
      </c>
      <c r="O88" s="38" t="e">
        <f t="shared" si="42"/>
        <v>#VALUE!</v>
      </c>
      <c r="P88" s="38">
        <f t="shared" si="43"/>
        <v>0</v>
      </c>
      <c r="Q88" s="38"/>
      <c r="R88" s="38" t="e">
        <f t="shared" si="44"/>
        <v>#VALUE!</v>
      </c>
      <c r="S88" s="38"/>
      <c r="U88" s="40" t="e">
        <f>将来人口!$F11*世帯主率推計!M79</f>
        <v>#VALUE!</v>
      </c>
      <c r="V88" s="40" t="e">
        <f>将来人口!$F11*世帯主率推計!N79</f>
        <v>#VALUE!</v>
      </c>
      <c r="W88" s="40" t="e">
        <f>将来人口!$F11*世帯主率推計!O79</f>
        <v>#VALUE!</v>
      </c>
      <c r="X88" s="40" t="e">
        <f>将来人口!$F11*世帯主率推計!P79</f>
        <v>#VALUE!</v>
      </c>
      <c r="Y88" s="40">
        <f>将来人口!$F11*世帯主率推計!Q79</f>
        <v>0</v>
      </c>
    </row>
    <row r="89" spans="11:25" x14ac:dyDescent="0.4">
      <c r="K89" s="37" t="s">
        <v>128</v>
      </c>
      <c r="L89" s="38" t="e">
        <f t="shared" si="45"/>
        <v>#VALUE!</v>
      </c>
      <c r="M89" s="38" t="e">
        <f t="shared" si="40"/>
        <v>#VALUE!</v>
      </c>
      <c r="N89" s="38" t="e">
        <f t="shared" si="41"/>
        <v>#VALUE!</v>
      </c>
      <c r="O89" s="38" t="e">
        <f t="shared" si="42"/>
        <v>#VALUE!</v>
      </c>
      <c r="P89" s="38">
        <f t="shared" si="43"/>
        <v>0</v>
      </c>
      <c r="Q89" s="38"/>
      <c r="R89" s="38" t="e">
        <f t="shared" si="44"/>
        <v>#VALUE!</v>
      </c>
      <c r="S89" s="38"/>
      <c r="U89" s="40" t="e">
        <f>将来人口!$F12*世帯主率推計!M80</f>
        <v>#VALUE!</v>
      </c>
      <c r="V89" s="40" t="e">
        <f>将来人口!$F12*世帯主率推計!N80</f>
        <v>#VALUE!</v>
      </c>
      <c r="W89" s="40" t="e">
        <f>将来人口!$F12*世帯主率推計!O80</f>
        <v>#VALUE!</v>
      </c>
      <c r="X89" s="40" t="e">
        <f>将来人口!$F12*世帯主率推計!P80</f>
        <v>#VALUE!</v>
      </c>
      <c r="Y89" s="40">
        <f>将来人口!$F12*世帯主率推計!Q80</f>
        <v>0</v>
      </c>
    </row>
    <row r="90" spans="11:25" x14ac:dyDescent="0.4">
      <c r="K90" s="37" t="s">
        <v>129</v>
      </c>
      <c r="L90" s="38" t="e">
        <f t="shared" si="45"/>
        <v>#VALUE!</v>
      </c>
      <c r="M90" s="38" t="e">
        <f t="shared" si="40"/>
        <v>#VALUE!</v>
      </c>
      <c r="N90" s="38" t="e">
        <f t="shared" si="41"/>
        <v>#VALUE!</v>
      </c>
      <c r="O90" s="38" t="e">
        <f t="shared" si="42"/>
        <v>#VALUE!</v>
      </c>
      <c r="P90" s="38">
        <f t="shared" si="43"/>
        <v>0</v>
      </c>
      <c r="Q90" s="38"/>
      <c r="R90" s="38" t="e">
        <f t="shared" si="44"/>
        <v>#VALUE!</v>
      </c>
      <c r="S90" s="38"/>
      <c r="U90" s="40" t="e">
        <f>将来人口!$F13*世帯主率推計!M81</f>
        <v>#VALUE!</v>
      </c>
      <c r="V90" s="40" t="e">
        <f>将来人口!$F13*世帯主率推計!N81</f>
        <v>#VALUE!</v>
      </c>
      <c r="W90" s="40" t="e">
        <f>将来人口!$F13*世帯主率推計!O81</f>
        <v>#VALUE!</v>
      </c>
      <c r="X90" s="40" t="e">
        <f>将来人口!$F13*世帯主率推計!P81</f>
        <v>#VALUE!</v>
      </c>
      <c r="Y90" s="40">
        <f>将来人口!$F13*世帯主率推計!Q81</f>
        <v>0</v>
      </c>
    </row>
    <row r="91" spans="11:25" x14ac:dyDescent="0.4">
      <c r="K91" s="37" t="s">
        <v>130</v>
      </c>
      <c r="L91" s="38" t="e">
        <f t="shared" si="45"/>
        <v>#VALUE!</v>
      </c>
      <c r="M91" s="38" t="e">
        <f t="shared" si="40"/>
        <v>#VALUE!</v>
      </c>
      <c r="N91" s="38" t="e">
        <f t="shared" si="41"/>
        <v>#VALUE!</v>
      </c>
      <c r="O91" s="38" t="e">
        <f t="shared" si="42"/>
        <v>#VALUE!</v>
      </c>
      <c r="P91" s="38">
        <f t="shared" si="43"/>
        <v>0</v>
      </c>
      <c r="Q91" s="38"/>
      <c r="R91" s="38" t="e">
        <f t="shared" si="44"/>
        <v>#VALUE!</v>
      </c>
      <c r="S91" s="38"/>
      <c r="U91" s="40" t="e">
        <f>将来人口!$F14*世帯主率推計!M82</f>
        <v>#VALUE!</v>
      </c>
      <c r="V91" s="40" t="e">
        <f>将来人口!$F14*世帯主率推計!N82</f>
        <v>#VALUE!</v>
      </c>
      <c r="W91" s="40" t="e">
        <f>将来人口!$F14*世帯主率推計!O82</f>
        <v>#VALUE!</v>
      </c>
      <c r="X91" s="40" t="e">
        <f>将来人口!$F14*世帯主率推計!P82</f>
        <v>#VALUE!</v>
      </c>
      <c r="Y91" s="40">
        <f>将来人口!$F14*世帯主率推計!Q82</f>
        <v>0</v>
      </c>
    </row>
    <row r="92" spans="11:25" x14ac:dyDescent="0.4">
      <c r="K92" s="37" t="s">
        <v>131</v>
      </c>
      <c r="L92" s="38" t="e">
        <f t="shared" si="45"/>
        <v>#VALUE!</v>
      </c>
      <c r="M92" s="38" t="e">
        <f t="shared" si="40"/>
        <v>#VALUE!</v>
      </c>
      <c r="N92" s="38" t="e">
        <f t="shared" si="41"/>
        <v>#VALUE!</v>
      </c>
      <c r="O92" s="38" t="e">
        <f t="shared" si="42"/>
        <v>#VALUE!</v>
      </c>
      <c r="P92" s="38">
        <f t="shared" si="43"/>
        <v>0</v>
      </c>
      <c r="Q92" s="38"/>
      <c r="R92" s="38" t="e">
        <f t="shared" si="44"/>
        <v>#VALUE!</v>
      </c>
      <c r="S92" s="38"/>
      <c r="U92" s="40" t="e">
        <f>将来人口!$F15*世帯主率推計!M83</f>
        <v>#VALUE!</v>
      </c>
      <c r="V92" s="40" t="e">
        <f>将来人口!$F15*世帯主率推計!N83</f>
        <v>#VALUE!</v>
      </c>
      <c r="W92" s="40" t="e">
        <f>将来人口!$F15*世帯主率推計!O83</f>
        <v>#VALUE!</v>
      </c>
      <c r="X92" s="40" t="e">
        <f>将来人口!$F15*世帯主率推計!P83</f>
        <v>#VALUE!</v>
      </c>
      <c r="Y92" s="40">
        <f>将来人口!$F15*世帯主率推計!Q83</f>
        <v>0</v>
      </c>
    </row>
    <row r="93" spans="11:25" x14ac:dyDescent="0.4">
      <c r="K93" s="37" t="s">
        <v>132</v>
      </c>
      <c r="L93" s="38" t="e">
        <f t="shared" si="45"/>
        <v>#VALUE!</v>
      </c>
      <c r="M93" s="38" t="e">
        <f t="shared" si="40"/>
        <v>#VALUE!</v>
      </c>
      <c r="N93" s="38" t="e">
        <f t="shared" si="41"/>
        <v>#VALUE!</v>
      </c>
      <c r="O93" s="38" t="e">
        <f t="shared" si="42"/>
        <v>#VALUE!</v>
      </c>
      <c r="P93" s="38">
        <f t="shared" si="43"/>
        <v>0</v>
      </c>
      <c r="Q93" s="38"/>
      <c r="R93" s="38" t="e">
        <f t="shared" si="44"/>
        <v>#VALUE!</v>
      </c>
      <c r="S93" s="38"/>
      <c r="U93" s="40" t="e">
        <f>将来人口!$F16*世帯主率推計!M84</f>
        <v>#VALUE!</v>
      </c>
      <c r="V93" s="40" t="e">
        <f>将来人口!$F16*世帯主率推計!N84</f>
        <v>#VALUE!</v>
      </c>
      <c r="W93" s="40" t="e">
        <f>将来人口!$F16*世帯主率推計!O84</f>
        <v>#VALUE!</v>
      </c>
      <c r="X93" s="40" t="e">
        <f>将来人口!$F16*世帯主率推計!P84</f>
        <v>#VALUE!</v>
      </c>
      <c r="Y93" s="40">
        <f>将来人口!$F16*世帯主率推計!Q84</f>
        <v>0</v>
      </c>
    </row>
    <row r="94" spans="11:25" x14ac:dyDescent="0.4">
      <c r="K94" s="37" t="s">
        <v>134</v>
      </c>
      <c r="L94" s="38" t="e">
        <f t="shared" si="45"/>
        <v>#VALUE!</v>
      </c>
      <c r="M94" s="38" t="e">
        <f t="shared" si="40"/>
        <v>#VALUE!</v>
      </c>
      <c r="N94" s="38" t="e">
        <f t="shared" si="41"/>
        <v>#VALUE!</v>
      </c>
      <c r="O94" s="38" t="e">
        <f t="shared" si="42"/>
        <v>#VALUE!</v>
      </c>
      <c r="P94" s="38">
        <f t="shared" si="43"/>
        <v>0</v>
      </c>
      <c r="Q94" s="38"/>
      <c r="R94" s="38" t="e">
        <f t="shared" si="44"/>
        <v>#VALUE!</v>
      </c>
      <c r="S94" s="38"/>
      <c r="U94" s="40" t="e">
        <f>将来人口!$F17*世帯主率推計!M85</f>
        <v>#VALUE!</v>
      </c>
      <c r="V94" s="40" t="e">
        <f>将来人口!$F17*世帯主率推計!N85</f>
        <v>#VALUE!</v>
      </c>
      <c r="W94" s="40" t="e">
        <f>将来人口!$F17*世帯主率推計!O85</f>
        <v>#VALUE!</v>
      </c>
      <c r="X94" s="40" t="e">
        <f>将来人口!$F17*世帯主率推計!P85</f>
        <v>#VALUE!</v>
      </c>
      <c r="Y94" s="40">
        <f>将来人口!$F17*世帯主率推計!Q85</f>
        <v>0</v>
      </c>
    </row>
    <row r="95" spans="11:25" x14ac:dyDescent="0.4">
      <c r="K95" s="37" t="s">
        <v>135</v>
      </c>
      <c r="L95" s="39" t="e">
        <f t="shared" ref="L95" si="46">SUM(L79:L94)</f>
        <v>#VALUE!</v>
      </c>
      <c r="M95" s="39" t="e">
        <f t="shared" ref="M95" si="47">SUM(M79:M94)</f>
        <v>#VALUE!</v>
      </c>
      <c r="N95" s="39" t="e">
        <f t="shared" ref="N95" si="48">SUM(N79:N94)</f>
        <v>#VALUE!</v>
      </c>
      <c r="O95" s="39" t="e">
        <f t="shared" ref="O95" si="49">SUM(O79:O94)</f>
        <v>#VALUE!</v>
      </c>
      <c r="P95" s="39">
        <f t="shared" ref="P95" si="50">SUM(P79:P94)</f>
        <v>0</v>
      </c>
      <c r="Q95" s="39">
        <f>Q76</f>
        <v>0</v>
      </c>
      <c r="R95" s="39" t="e">
        <f>SUM(R79:R94)</f>
        <v>#VALUE!</v>
      </c>
      <c r="S95" s="39" t="e">
        <f>SUM(L95:Q95)</f>
        <v>#VALUE!</v>
      </c>
    </row>
    <row r="96" spans="11:25" x14ac:dyDescent="0.4">
      <c r="K96" s="54" t="str">
        <f>IF(COUNTIF(U80:Y94,"&lt;0")&lt;&gt;0,"※推計がマイナスとなる場合は0とした","")</f>
        <v/>
      </c>
      <c r="L96" s="54"/>
      <c r="M96" s="54"/>
      <c r="N96" s="54"/>
    </row>
    <row r="97" spans="11:25" x14ac:dyDescent="0.4">
      <c r="K97" s="35" t="s">
        <v>118</v>
      </c>
      <c r="L97" s="36" t="s">
        <v>137</v>
      </c>
      <c r="M97" s="36" t="s">
        <v>106</v>
      </c>
      <c r="N97" s="36" t="s">
        <v>107</v>
      </c>
      <c r="O97" s="36" t="s">
        <v>108</v>
      </c>
      <c r="P97" s="36" t="s">
        <v>138</v>
      </c>
      <c r="Q97" s="36" t="s">
        <v>139</v>
      </c>
      <c r="R97" s="36" t="s">
        <v>136</v>
      </c>
      <c r="S97" s="36" t="s">
        <v>140</v>
      </c>
    </row>
    <row r="98" spans="11:25" x14ac:dyDescent="0.4">
      <c r="K98" s="37" t="s">
        <v>133</v>
      </c>
      <c r="L98" s="38"/>
      <c r="M98" s="38"/>
      <c r="N98" s="38"/>
      <c r="O98" s="38"/>
      <c r="P98" s="38"/>
      <c r="Q98" s="38"/>
      <c r="R98" s="38">
        <v>0</v>
      </c>
      <c r="S98" s="38"/>
    </row>
    <row r="99" spans="11:25" x14ac:dyDescent="0.4">
      <c r="K99" s="37" t="s">
        <v>119</v>
      </c>
      <c r="L99" s="38" t="e">
        <f>IF(U99&lt;0,0,U99)</f>
        <v>#VALUE!</v>
      </c>
      <c r="M99" s="38" t="e">
        <f t="shared" ref="M99:M113" si="51">IF(V99&lt;0,0,V99)</f>
        <v>#VALUE!</v>
      </c>
      <c r="N99" s="38" t="e">
        <f t="shared" ref="N99:N113" si="52">IF(W99&lt;0,0,W99)</f>
        <v>#VALUE!</v>
      </c>
      <c r="O99" s="38" t="e">
        <f t="shared" ref="O99:O113" si="53">IF(X99&lt;0,0,X99)</f>
        <v>#VALUE!</v>
      </c>
      <c r="P99" s="38">
        <f t="shared" ref="P99:P113" si="54">IF(Y99&lt;0,0,Y99)</f>
        <v>0</v>
      </c>
      <c r="Q99" s="38"/>
      <c r="R99" s="38" t="e">
        <f t="shared" ref="R99:R113" si="55">SUM(L99:P99)</f>
        <v>#VALUE!</v>
      </c>
      <c r="S99" s="38"/>
      <c r="U99" s="40" t="e">
        <f>将来人口!$G3*世帯主率推計!M88</f>
        <v>#VALUE!</v>
      </c>
      <c r="V99" s="40" t="e">
        <f>将来人口!$G3*世帯主率推計!N88</f>
        <v>#VALUE!</v>
      </c>
      <c r="W99" s="40" t="e">
        <f>将来人口!$G3*世帯主率推計!O88</f>
        <v>#VALUE!</v>
      </c>
      <c r="X99" s="40" t="e">
        <f>将来人口!$G3*世帯主率推計!P88</f>
        <v>#VALUE!</v>
      </c>
      <c r="Y99" s="40">
        <f>将来人口!$G3*世帯主率推計!Q88</f>
        <v>0</v>
      </c>
    </row>
    <row r="100" spans="11:25" x14ac:dyDescent="0.4">
      <c r="K100" s="37" t="s">
        <v>120</v>
      </c>
      <c r="L100" s="38" t="e">
        <f t="shared" ref="L100:L113" si="56">IF(U100&lt;0,0,U100)</f>
        <v>#VALUE!</v>
      </c>
      <c r="M100" s="38" t="e">
        <f t="shared" si="51"/>
        <v>#VALUE!</v>
      </c>
      <c r="N100" s="38" t="e">
        <f t="shared" si="52"/>
        <v>#VALUE!</v>
      </c>
      <c r="O100" s="38" t="e">
        <f t="shared" si="53"/>
        <v>#VALUE!</v>
      </c>
      <c r="P100" s="38">
        <f t="shared" si="54"/>
        <v>0</v>
      </c>
      <c r="Q100" s="38"/>
      <c r="R100" s="38" t="e">
        <f t="shared" si="55"/>
        <v>#VALUE!</v>
      </c>
      <c r="S100" s="38"/>
      <c r="U100" s="40" t="e">
        <f>将来人口!$G4*世帯主率推計!M89</f>
        <v>#VALUE!</v>
      </c>
      <c r="V100" s="40" t="e">
        <f>将来人口!$G4*世帯主率推計!N89</f>
        <v>#VALUE!</v>
      </c>
      <c r="W100" s="40" t="e">
        <f>将来人口!$G4*世帯主率推計!O89</f>
        <v>#VALUE!</v>
      </c>
      <c r="X100" s="40" t="e">
        <f>将来人口!$G4*世帯主率推計!P89</f>
        <v>#VALUE!</v>
      </c>
      <c r="Y100" s="40">
        <f>将来人口!$G4*世帯主率推計!Q89</f>
        <v>0</v>
      </c>
    </row>
    <row r="101" spans="11:25" x14ac:dyDescent="0.4">
      <c r="K101" s="37" t="s">
        <v>121</v>
      </c>
      <c r="L101" s="38" t="e">
        <f t="shared" si="56"/>
        <v>#VALUE!</v>
      </c>
      <c r="M101" s="38" t="e">
        <f t="shared" si="51"/>
        <v>#VALUE!</v>
      </c>
      <c r="N101" s="38" t="e">
        <f t="shared" si="52"/>
        <v>#VALUE!</v>
      </c>
      <c r="O101" s="38" t="e">
        <f t="shared" si="53"/>
        <v>#VALUE!</v>
      </c>
      <c r="P101" s="38">
        <f t="shared" si="54"/>
        <v>0</v>
      </c>
      <c r="Q101" s="38"/>
      <c r="R101" s="38" t="e">
        <f t="shared" si="55"/>
        <v>#VALUE!</v>
      </c>
      <c r="S101" s="38"/>
      <c r="U101" s="40" t="e">
        <f>将来人口!$G5*世帯主率推計!M90</f>
        <v>#VALUE!</v>
      </c>
      <c r="V101" s="40" t="e">
        <f>将来人口!$G5*世帯主率推計!N90</f>
        <v>#VALUE!</v>
      </c>
      <c r="W101" s="40" t="e">
        <f>将来人口!$G5*世帯主率推計!O90</f>
        <v>#VALUE!</v>
      </c>
      <c r="X101" s="40" t="e">
        <f>将来人口!$G5*世帯主率推計!P90</f>
        <v>#VALUE!</v>
      </c>
      <c r="Y101" s="40">
        <f>将来人口!$G5*世帯主率推計!Q90</f>
        <v>0</v>
      </c>
    </row>
    <row r="102" spans="11:25" x14ac:dyDescent="0.4">
      <c r="K102" s="37" t="s">
        <v>122</v>
      </c>
      <c r="L102" s="38" t="e">
        <f t="shared" si="56"/>
        <v>#VALUE!</v>
      </c>
      <c r="M102" s="38" t="e">
        <f t="shared" si="51"/>
        <v>#VALUE!</v>
      </c>
      <c r="N102" s="38" t="e">
        <f t="shared" si="52"/>
        <v>#VALUE!</v>
      </c>
      <c r="O102" s="38" t="e">
        <f t="shared" si="53"/>
        <v>#VALUE!</v>
      </c>
      <c r="P102" s="38">
        <f t="shared" si="54"/>
        <v>0</v>
      </c>
      <c r="Q102" s="38"/>
      <c r="R102" s="38" t="e">
        <f t="shared" si="55"/>
        <v>#VALUE!</v>
      </c>
      <c r="S102" s="38"/>
      <c r="U102" s="40" t="e">
        <f>将来人口!$G6*世帯主率推計!M91</f>
        <v>#VALUE!</v>
      </c>
      <c r="V102" s="40" t="e">
        <f>将来人口!$G6*世帯主率推計!N91</f>
        <v>#VALUE!</v>
      </c>
      <c r="W102" s="40" t="e">
        <f>将来人口!$G6*世帯主率推計!O91</f>
        <v>#VALUE!</v>
      </c>
      <c r="X102" s="40" t="e">
        <f>将来人口!$G6*世帯主率推計!P91</f>
        <v>#VALUE!</v>
      </c>
      <c r="Y102" s="40">
        <f>将来人口!$G6*世帯主率推計!Q91</f>
        <v>0</v>
      </c>
    </row>
    <row r="103" spans="11:25" x14ac:dyDescent="0.4">
      <c r="K103" s="37" t="s">
        <v>123</v>
      </c>
      <c r="L103" s="38" t="e">
        <f t="shared" si="56"/>
        <v>#VALUE!</v>
      </c>
      <c r="M103" s="38" t="e">
        <f t="shared" si="51"/>
        <v>#VALUE!</v>
      </c>
      <c r="N103" s="38" t="e">
        <f t="shared" si="52"/>
        <v>#VALUE!</v>
      </c>
      <c r="O103" s="38" t="e">
        <f t="shared" si="53"/>
        <v>#VALUE!</v>
      </c>
      <c r="P103" s="38">
        <f t="shared" si="54"/>
        <v>0</v>
      </c>
      <c r="Q103" s="38"/>
      <c r="R103" s="38" t="e">
        <f t="shared" si="55"/>
        <v>#VALUE!</v>
      </c>
      <c r="S103" s="38"/>
      <c r="U103" s="40" t="e">
        <f>将来人口!$G7*世帯主率推計!M92</f>
        <v>#VALUE!</v>
      </c>
      <c r="V103" s="40" t="e">
        <f>将来人口!$G7*世帯主率推計!N92</f>
        <v>#VALUE!</v>
      </c>
      <c r="W103" s="40" t="e">
        <f>将来人口!$G7*世帯主率推計!O92</f>
        <v>#VALUE!</v>
      </c>
      <c r="X103" s="40" t="e">
        <f>将来人口!$G7*世帯主率推計!P92</f>
        <v>#VALUE!</v>
      </c>
      <c r="Y103" s="40">
        <f>将来人口!$G7*世帯主率推計!Q92</f>
        <v>0</v>
      </c>
    </row>
    <row r="104" spans="11:25" x14ac:dyDescent="0.4">
      <c r="K104" s="37" t="s">
        <v>124</v>
      </c>
      <c r="L104" s="38" t="e">
        <f t="shared" si="56"/>
        <v>#VALUE!</v>
      </c>
      <c r="M104" s="38" t="e">
        <f t="shared" si="51"/>
        <v>#VALUE!</v>
      </c>
      <c r="N104" s="38" t="e">
        <f t="shared" si="52"/>
        <v>#VALUE!</v>
      </c>
      <c r="O104" s="38" t="e">
        <f t="shared" si="53"/>
        <v>#VALUE!</v>
      </c>
      <c r="P104" s="38">
        <f t="shared" si="54"/>
        <v>0</v>
      </c>
      <c r="Q104" s="38"/>
      <c r="R104" s="38" t="e">
        <f t="shared" si="55"/>
        <v>#VALUE!</v>
      </c>
      <c r="S104" s="38"/>
      <c r="U104" s="40" t="e">
        <f>将来人口!$G8*世帯主率推計!M93</f>
        <v>#VALUE!</v>
      </c>
      <c r="V104" s="40" t="e">
        <f>将来人口!$G8*世帯主率推計!N93</f>
        <v>#VALUE!</v>
      </c>
      <c r="W104" s="40" t="e">
        <f>将来人口!$G8*世帯主率推計!O93</f>
        <v>#VALUE!</v>
      </c>
      <c r="X104" s="40" t="e">
        <f>将来人口!$G8*世帯主率推計!P93</f>
        <v>#VALUE!</v>
      </c>
      <c r="Y104" s="40">
        <f>将来人口!$G8*世帯主率推計!Q93</f>
        <v>0</v>
      </c>
    </row>
    <row r="105" spans="11:25" x14ac:dyDescent="0.4">
      <c r="K105" s="37" t="s">
        <v>125</v>
      </c>
      <c r="L105" s="38" t="e">
        <f t="shared" si="56"/>
        <v>#VALUE!</v>
      </c>
      <c r="M105" s="38" t="e">
        <f t="shared" si="51"/>
        <v>#VALUE!</v>
      </c>
      <c r="N105" s="38" t="e">
        <f t="shared" si="52"/>
        <v>#VALUE!</v>
      </c>
      <c r="O105" s="38" t="e">
        <f t="shared" si="53"/>
        <v>#VALUE!</v>
      </c>
      <c r="P105" s="38">
        <f t="shared" si="54"/>
        <v>0</v>
      </c>
      <c r="Q105" s="38"/>
      <c r="R105" s="38" t="e">
        <f t="shared" si="55"/>
        <v>#VALUE!</v>
      </c>
      <c r="S105" s="38"/>
      <c r="U105" s="40" t="e">
        <f>将来人口!$G9*世帯主率推計!M94</f>
        <v>#VALUE!</v>
      </c>
      <c r="V105" s="40" t="e">
        <f>将来人口!$G9*世帯主率推計!N94</f>
        <v>#VALUE!</v>
      </c>
      <c r="W105" s="40" t="e">
        <f>将来人口!$G9*世帯主率推計!O94</f>
        <v>#VALUE!</v>
      </c>
      <c r="X105" s="40" t="e">
        <f>将来人口!$G9*世帯主率推計!P94</f>
        <v>#VALUE!</v>
      </c>
      <c r="Y105" s="40">
        <f>将来人口!$G9*世帯主率推計!Q94</f>
        <v>0</v>
      </c>
    </row>
    <row r="106" spans="11:25" x14ac:dyDescent="0.4">
      <c r="K106" s="37" t="s">
        <v>126</v>
      </c>
      <c r="L106" s="38" t="e">
        <f t="shared" si="56"/>
        <v>#VALUE!</v>
      </c>
      <c r="M106" s="38" t="e">
        <f t="shared" si="51"/>
        <v>#VALUE!</v>
      </c>
      <c r="N106" s="38" t="e">
        <f t="shared" si="52"/>
        <v>#VALUE!</v>
      </c>
      <c r="O106" s="38" t="e">
        <f t="shared" si="53"/>
        <v>#VALUE!</v>
      </c>
      <c r="P106" s="38">
        <f t="shared" si="54"/>
        <v>0</v>
      </c>
      <c r="Q106" s="38"/>
      <c r="R106" s="38" t="e">
        <f t="shared" si="55"/>
        <v>#VALUE!</v>
      </c>
      <c r="S106" s="38"/>
      <c r="U106" s="40" t="e">
        <f>将来人口!$G10*世帯主率推計!M95</f>
        <v>#VALUE!</v>
      </c>
      <c r="V106" s="40" t="e">
        <f>将来人口!$G10*世帯主率推計!N95</f>
        <v>#VALUE!</v>
      </c>
      <c r="W106" s="40" t="e">
        <f>将来人口!$G10*世帯主率推計!O95</f>
        <v>#VALUE!</v>
      </c>
      <c r="X106" s="40" t="e">
        <f>将来人口!$G10*世帯主率推計!P95</f>
        <v>#VALUE!</v>
      </c>
      <c r="Y106" s="40">
        <f>将来人口!$G10*世帯主率推計!Q95</f>
        <v>0</v>
      </c>
    </row>
    <row r="107" spans="11:25" x14ac:dyDescent="0.4">
      <c r="K107" s="37" t="s">
        <v>127</v>
      </c>
      <c r="L107" s="38" t="e">
        <f t="shared" si="56"/>
        <v>#VALUE!</v>
      </c>
      <c r="M107" s="38" t="e">
        <f t="shared" si="51"/>
        <v>#VALUE!</v>
      </c>
      <c r="N107" s="38" t="e">
        <f t="shared" si="52"/>
        <v>#VALUE!</v>
      </c>
      <c r="O107" s="38" t="e">
        <f t="shared" si="53"/>
        <v>#VALUE!</v>
      </c>
      <c r="P107" s="38">
        <f t="shared" si="54"/>
        <v>0</v>
      </c>
      <c r="Q107" s="38"/>
      <c r="R107" s="38" t="e">
        <f t="shared" si="55"/>
        <v>#VALUE!</v>
      </c>
      <c r="S107" s="38"/>
      <c r="U107" s="40" t="e">
        <f>将来人口!$G11*世帯主率推計!M96</f>
        <v>#VALUE!</v>
      </c>
      <c r="V107" s="40" t="e">
        <f>将来人口!$G11*世帯主率推計!N96</f>
        <v>#VALUE!</v>
      </c>
      <c r="W107" s="40" t="e">
        <f>将来人口!$G11*世帯主率推計!O96</f>
        <v>#VALUE!</v>
      </c>
      <c r="X107" s="40" t="e">
        <f>将来人口!$G11*世帯主率推計!P96</f>
        <v>#VALUE!</v>
      </c>
      <c r="Y107" s="40">
        <f>将来人口!$G11*世帯主率推計!Q96</f>
        <v>0</v>
      </c>
    </row>
    <row r="108" spans="11:25" x14ac:dyDescent="0.4">
      <c r="K108" s="37" t="s">
        <v>128</v>
      </c>
      <c r="L108" s="38" t="e">
        <f t="shared" si="56"/>
        <v>#VALUE!</v>
      </c>
      <c r="M108" s="38" t="e">
        <f t="shared" si="51"/>
        <v>#VALUE!</v>
      </c>
      <c r="N108" s="38" t="e">
        <f t="shared" si="52"/>
        <v>#VALUE!</v>
      </c>
      <c r="O108" s="38" t="e">
        <f t="shared" si="53"/>
        <v>#VALUE!</v>
      </c>
      <c r="P108" s="38">
        <f t="shared" si="54"/>
        <v>0</v>
      </c>
      <c r="Q108" s="38"/>
      <c r="R108" s="38" t="e">
        <f t="shared" si="55"/>
        <v>#VALUE!</v>
      </c>
      <c r="S108" s="38"/>
      <c r="U108" s="40" t="e">
        <f>将来人口!$G12*世帯主率推計!M97</f>
        <v>#VALUE!</v>
      </c>
      <c r="V108" s="40" t="e">
        <f>将来人口!$G12*世帯主率推計!N97</f>
        <v>#VALUE!</v>
      </c>
      <c r="W108" s="40" t="e">
        <f>将来人口!$G12*世帯主率推計!O97</f>
        <v>#VALUE!</v>
      </c>
      <c r="X108" s="40" t="e">
        <f>将来人口!$G12*世帯主率推計!P97</f>
        <v>#VALUE!</v>
      </c>
      <c r="Y108" s="40">
        <f>将来人口!$G12*世帯主率推計!Q97</f>
        <v>0</v>
      </c>
    </row>
    <row r="109" spans="11:25" x14ac:dyDescent="0.4">
      <c r="K109" s="37" t="s">
        <v>129</v>
      </c>
      <c r="L109" s="38" t="e">
        <f t="shared" si="56"/>
        <v>#VALUE!</v>
      </c>
      <c r="M109" s="38" t="e">
        <f t="shared" si="51"/>
        <v>#VALUE!</v>
      </c>
      <c r="N109" s="38" t="e">
        <f t="shared" si="52"/>
        <v>#VALUE!</v>
      </c>
      <c r="O109" s="38" t="e">
        <f t="shared" si="53"/>
        <v>#VALUE!</v>
      </c>
      <c r="P109" s="38">
        <f t="shared" si="54"/>
        <v>0</v>
      </c>
      <c r="Q109" s="38"/>
      <c r="R109" s="38" t="e">
        <f t="shared" si="55"/>
        <v>#VALUE!</v>
      </c>
      <c r="S109" s="38"/>
      <c r="U109" s="40" t="e">
        <f>将来人口!$G13*世帯主率推計!M98</f>
        <v>#VALUE!</v>
      </c>
      <c r="V109" s="40" t="e">
        <f>将来人口!$G13*世帯主率推計!N98</f>
        <v>#VALUE!</v>
      </c>
      <c r="W109" s="40" t="e">
        <f>将来人口!$G13*世帯主率推計!O98</f>
        <v>#VALUE!</v>
      </c>
      <c r="X109" s="40" t="e">
        <f>将来人口!$G13*世帯主率推計!P98</f>
        <v>#VALUE!</v>
      </c>
      <c r="Y109" s="40">
        <f>将来人口!$G13*世帯主率推計!Q98</f>
        <v>0</v>
      </c>
    </row>
    <row r="110" spans="11:25" x14ac:dyDescent="0.4">
      <c r="K110" s="37" t="s">
        <v>130</v>
      </c>
      <c r="L110" s="38" t="e">
        <f t="shared" si="56"/>
        <v>#VALUE!</v>
      </c>
      <c r="M110" s="38" t="e">
        <f t="shared" si="51"/>
        <v>#VALUE!</v>
      </c>
      <c r="N110" s="38" t="e">
        <f t="shared" si="52"/>
        <v>#VALUE!</v>
      </c>
      <c r="O110" s="38" t="e">
        <f t="shared" si="53"/>
        <v>#VALUE!</v>
      </c>
      <c r="P110" s="38">
        <f t="shared" si="54"/>
        <v>0</v>
      </c>
      <c r="Q110" s="38"/>
      <c r="R110" s="38" t="e">
        <f t="shared" si="55"/>
        <v>#VALUE!</v>
      </c>
      <c r="S110" s="38"/>
      <c r="U110" s="40" t="e">
        <f>将来人口!$G14*世帯主率推計!M99</f>
        <v>#VALUE!</v>
      </c>
      <c r="V110" s="40" t="e">
        <f>将来人口!$G14*世帯主率推計!N99</f>
        <v>#VALUE!</v>
      </c>
      <c r="W110" s="40" t="e">
        <f>将来人口!$G14*世帯主率推計!O99</f>
        <v>#VALUE!</v>
      </c>
      <c r="X110" s="40" t="e">
        <f>将来人口!$G14*世帯主率推計!P99</f>
        <v>#VALUE!</v>
      </c>
      <c r="Y110" s="40">
        <f>将来人口!$G14*世帯主率推計!Q99</f>
        <v>0</v>
      </c>
    </row>
    <row r="111" spans="11:25" x14ac:dyDescent="0.4">
      <c r="K111" s="37" t="s">
        <v>131</v>
      </c>
      <c r="L111" s="38" t="e">
        <f t="shared" si="56"/>
        <v>#VALUE!</v>
      </c>
      <c r="M111" s="38" t="e">
        <f t="shared" si="51"/>
        <v>#VALUE!</v>
      </c>
      <c r="N111" s="38" t="e">
        <f t="shared" si="52"/>
        <v>#VALUE!</v>
      </c>
      <c r="O111" s="38" t="e">
        <f t="shared" si="53"/>
        <v>#VALUE!</v>
      </c>
      <c r="P111" s="38">
        <f t="shared" si="54"/>
        <v>0</v>
      </c>
      <c r="Q111" s="38"/>
      <c r="R111" s="38" t="e">
        <f t="shared" si="55"/>
        <v>#VALUE!</v>
      </c>
      <c r="S111" s="38"/>
      <c r="U111" s="40" t="e">
        <f>将来人口!$G15*世帯主率推計!M100</f>
        <v>#VALUE!</v>
      </c>
      <c r="V111" s="40" t="e">
        <f>将来人口!$G15*世帯主率推計!N100</f>
        <v>#VALUE!</v>
      </c>
      <c r="W111" s="40" t="e">
        <f>将来人口!$G15*世帯主率推計!O100</f>
        <v>#VALUE!</v>
      </c>
      <c r="X111" s="40" t="e">
        <f>将来人口!$G15*世帯主率推計!P100</f>
        <v>#VALUE!</v>
      </c>
      <c r="Y111" s="40">
        <f>将来人口!$G15*世帯主率推計!Q100</f>
        <v>0</v>
      </c>
    </row>
    <row r="112" spans="11:25" x14ac:dyDescent="0.4">
      <c r="K112" s="37" t="s">
        <v>132</v>
      </c>
      <c r="L112" s="38" t="e">
        <f t="shared" si="56"/>
        <v>#VALUE!</v>
      </c>
      <c r="M112" s="38" t="e">
        <f t="shared" si="51"/>
        <v>#VALUE!</v>
      </c>
      <c r="N112" s="38" t="e">
        <f t="shared" si="52"/>
        <v>#VALUE!</v>
      </c>
      <c r="O112" s="38" t="e">
        <f t="shared" si="53"/>
        <v>#VALUE!</v>
      </c>
      <c r="P112" s="38">
        <f t="shared" si="54"/>
        <v>0</v>
      </c>
      <c r="Q112" s="38"/>
      <c r="R112" s="38" t="e">
        <f t="shared" si="55"/>
        <v>#VALUE!</v>
      </c>
      <c r="S112" s="38"/>
      <c r="U112" s="40" t="e">
        <f>将来人口!$G16*世帯主率推計!M101</f>
        <v>#VALUE!</v>
      </c>
      <c r="V112" s="40" t="e">
        <f>将来人口!$G16*世帯主率推計!N101</f>
        <v>#VALUE!</v>
      </c>
      <c r="W112" s="40" t="e">
        <f>将来人口!$G16*世帯主率推計!O101</f>
        <v>#VALUE!</v>
      </c>
      <c r="X112" s="40" t="e">
        <f>将来人口!$G16*世帯主率推計!P101</f>
        <v>#VALUE!</v>
      </c>
      <c r="Y112" s="40">
        <f>将来人口!$G16*世帯主率推計!Q101</f>
        <v>0</v>
      </c>
    </row>
    <row r="113" spans="11:25" x14ac:dyDescent="0.4">
      <c r="K113" s="37" t="s">
        <v>134</v>
      </c>
      <c r="L113" s="38" t="e">
        <f t="shared" si="56"/>
        <v>#VALUE!</v>
      </c>
      <c r="M113" s="38" t="e">
        <f t="shared" si="51"/>
        <v>#VALUE!</v>
      </c>
      <c r="N113" s="38" t="e">
        <f t="shared" si="52"/>
        <v>#VALUE!</v>
      </c>
      <c r="O113" s="38" t="e">
        <f t="shared" si="53"/>
        <v>#VALUE!</v>
      </c>
      <c r="P113" s="38">
        <f t="shared" si="54"/>
        <v>0</v>
      </c>
      <c r="Q113" s="38"/>
      <c r="R113" s="38" t="e">
        <f t="shared" si="55"/>
        <v>#VALUE!</v>
      </c>
      <c r="S113" s="38"/>
      <c r="U113" s="40" t="e">
        <f>将来人口!$G17*世帯主率推計!M102</f>
        <v>#VALUE!</v>
      </c>
      <c r="V113" s="40" t="e">
        <f>将来人口!$G17*世帯主率推計!N102</f>
        <v>#VALUE!</v>
      </c>
      <c r="W113" s="40" t="e">
        <f>将来人口!$G17*世帯主率推計!O102</f>
        <v>#VALUE!</v>
      </c>
      <c r="X113" s="40" t="e">
        <f>将来人口!$G17*世帯主率推計!P102</f>
        <v>#VALUE!</v>
      </c>
      <c r="Y113" s="40">
        <f>将来人口!$G17*世帯主率推計!Q102</f>
        <v>0</v>
      </c>
    </row>
    <row r="114" spans="11:25" x14ac:dyDescent="0.4">
      <c r="K114" s="37" t="s">
        <v>135</v>
      </c>
      <c r="L114" s="39" t="e">
        <f t="shared" ref="L114" si="57">SUM(L98:L113)</f>
        <v>#VALUE!</v>
      </c>
      <c r="M114" s="39" t="e">
        <f t="shared" ref="M114" si="58">SUM(M98:M113)</f>
        <v>#VALUE!</v>
      </c>
      <c r="N114" s="39" t="e">
        <f t="shared" ref="N114" si="59">SUM(N98:N113)</f>
        <v>#VALUE!</v>
      </c>
      <c r="O114" s="39" t="e">
        <f t="shared" ref="O114" si="60">SUM(O98:O113)</f>
        <v>#VALUE!</v>
      </c>
      <c r="P114" s="39">
        <f t="shared" ref="P114" si="61">SUM(P98:P113)</f>
        <v>0</v>
      </c>
      <c r="Q114" s="39">
        <f>Q95</f>
        <v>0</v>
      </c>
      <c r="R114" s="39" t="e">
        <f>SUM(R98:R113)</f>
        <v>#VALUE!</v>
      </c>
      <c r="S114" s="39" t="e">
        <f>SUM(L114:Q114)</f>
        <v>#VALUE!</v>
      </c>
    </row>
    <row r="115" spans="11:25" x14ac:dyDescent="0.4">
      <c r="K115" s="54" t="str">
        <f>IF(COUNTIF(U99:Y113,"&lt;0")&lt;&gt;0,"※推計がマイナスとなる場合は0とした","")</f>
        <v/>
      </c>
      <c r="L115" s="54"/>
      <c r="M115" s="54"/>
      <c r="N115" s="54"/>
    </row>
  </sheetData>
  <mergeCells count="6">
    <mergeCell ref="K115:N115"/>
    <mergeCell ref="K39:N39"/>
    <mergeCell ref="K58:N58"/>
    <mergeCell ref="K20:N20"/>
    <mergeCell ref="K77:N77"/>
    <mergeCell ref="K96:N96"/>
  </mergeCells>
  <phoneticPr fontId="1"/>
  <conditionalFormatting sqref="O39:P39 O58:P58 O20:P20 O77:P77 O96:P96">
    <cfRule type="expression" dxfId="12" priority="13">
      <formula>X20&lt;0</formula>
    </cfRule>
  </conditionalFormatting>
  <conditionalFormatting sqref="K39:N39">
    <cfRule type="expression" dxfId="11" priority="12">
      <formula>K39&lt;&gt;""</formula>
    </cfRule>
  </conditionalFormatting>
  <conditionalFormatting sqref="K58:N58">
    <cfRule type="expression" dxfId="10" priority="11">
      <formula>K58&lt;&gt;""</formula>
    </cfRule>
  </conditionalFormatting>
  <conditionalFormatting sqref="K20:N20">
    <cfRule type="expression" dxfId="9" priority="10">
      <formula>K20&lt;&gt;""</formula>
    </cfRule>
  </conditionalFormatting>
  <conditionalFormatting sqref="K77:N77">
    <cfRule type="expression" dxfId="8" priority="9">
      <formula>K77&lt;&gt;""</formula>
    </cfRule>
  </conditionalFormatting>
  <conditionalFormatting sqref="K96:N96">
    <cfRule type="expression" dxfId="7" priority="8">
      <formula>K96&lt;&gt;""</formula>
    </cfRule>
  </conditionalFormatting>
  <conditionalFormatting sqref="K115:N115">
    <cfRule type="expression" dxfId="6" priority="7">
      <formula>K115&lt;&gt;""</formula>
    </cfRule>
  </conditionalFormatting>
  <conditionalFormatting sqref="L23:P38">
    <cfRule type="expression" dxfId="5" priority="6">
      <formula>U23&lt;0</formula>
    </cfRule>
  </conditionalFormatting>
  <conditionalFormatting sqref="L4:P19">
    <cfRule type="expression" dxfId="4" priority="5">
      <formula>U4&lt;0</formula>
    </cfRule>
  </conditionalFormatting>
  <conditionalFormatting sqref="L42:P57">
    <cfRule type="expression" dxfId="3" priority="4">
      <formula>U42&lt;0</formula>
    </cfRule>
  </conditionalFormatting>
  <conditionalFormatting sqref="L61:P76">
    <cfRule type="expression" dxfId="2" priority="3">
      <formula>U61&lt;0</formula>
    </cfRule>
  </conditionalFormatting>
  <conditionalFormatting sqref="L80:P95">
    <cfRule type="expression" dxfId="1" priority="2">
      <formula>U80&lt;0</formula>
    </cfRule>
  </conditionalFormatting>
  <conditionalFormatting sqref="L99:P114">
    <cfRule type="expression" dxfId="0" priority="1">
      <formula>U99&lt;0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3529F-D454-4BE6-88BA-6589548E9517}">
  <sheetPr codeName="Sheet9"/>
  <dimension ref="A1:G20"/>
  <sheetViews>
    <sheetView showGridLines="0" workbookViewId="0">
      <selection activeCell="A18" sqref="A18"/>
    </sheetView>
  </sheetViews>
  <sheetFormatPr defaultRowHeight="18.75" x14ac:dyDescent="0.4"/>
  <sheetData>
    <row r="1" spans="1:7" x14ac:dyDescent="0.4">
      <c r="A1" t="str">
        <f>main!D6</f>
        <v>新潟市</v>
      </c>
      <c r="B1" s="28" t="s">
        <v>113</v>
      </c>
      <c r="C1" s="28" t="s">
        <v>114</v>
      </c>
      <c r="D1" s="28" t="s">
        <v>115</v>
      </c>
      <c r="E1" s="28" t="s">
        <v>116</v>
      </c>
      <c r="F1" s="28" t="s">
        <v>117</v>
      </c>
      <c r="G1" s="28" t="s">
        <v>118</v>
      </c>
    </row>
    <row r="2" spans="1:7" x14ac:dyDescent="0.4">
      <c r="A2" t="s">
        <v>61</v>
      </c>
      <c r="B2" s="31"/>
      <c r="C2" s="31"/>
      <c r="D2" s="31"/>
      <c r="E2" s="31"/>
      <c r="F2" s="31"/>
      <c r="G2" s="31"/>
    </row>
    <row r="3" spans="1:7" x14ac:dyDescent="0.4">
      <c r="A3" t="s">
        <v>119</v>
      </c>
      <c r="B3" s="31"/>
      <c r="C3" s="31"/>
      <c r="D3" s="31"/>
      <c r="E3" s="31"/>
      <c r="F3" s="31"/>
      <c r="G3" s="31"/>
    </row>
    <row r="4" spans="1:7" x14ac:dyDescent="0.4">
      <c r="A4" t="s">
        <v>120</v>
      </c>
      <c r="B4" s="31"/>
      <c r="C4" s="31"/>
      <c r="D4" s="31"/>
      <c r="E4" s="31"/>
      <c r="F4" s="31"/>
      <c r="G4" s="31"/>
    </row>
    <row r="5" spans="1:7" x14ac:dyDescent="0.4">
      <c r="A5" t="s">
        <v>121</v>
      </c>
      <c r="B5" s="31"/>
      <c r="C5" s="31"/>
      <c r="D5" s="31"/>
      <c r="E5" s="31"/>
      <c r="F5" s="31"/>
      <c r="G5" s="31"/>
    </row>
    <row r="6" spans="1:7" x14ac:dyDescent="0.4">
      <c r="A6" t="s">
        <v>122</v>
      </c>
      <c r="B6" s="31"/>
      <c r="C6" s="31"/>
      <c r="D6" s="31"/>
      <c r="E6" s="31"/>
      <c r="F6" s="31"/>
      <c r="G6" s="31"/>
    </row>
    <row r="7" spans="1:7" x14ac:dyDescent="0.4">
      <c r="A7" t="s">
        <v>123</v>
      </c>
      <c r="B7" s="31"/>
      <c r="C7" s="31"/>
      <c r="D7" s="31"/>
      <c r="E7" s="31"/>
      <c r="F7" s="31"/>
      <c r="G7" s="31"/>
    </row>
    <row r="8" spans="1:7" x14ac:dyDescent="0.4">
      <c r="A8" t="s">
        <v>124</v>
      </c>
      <c r="B8" s="31"/>
      <c r="C8" s="31"/>
      <c r="D8" s="31"/>
      <c r="E8" s="31"/>
      <c r="F8" s="31"/>
      <c r="G8" s="31"/>
    </row>
    <row r="9" spans="1:7" x14ac:dyDescent="0.4">
      <c r="A9" t="s">
        <v>125</v>
      </c>
      <c r="B9" s="31"/>
      <c r="C9" s="31"/>
      <c r="D9" s="31"/>
      <c r="E9" s="31"/>
      <c r="F9" s="31"/>
      <c r="G9" s="31"/>
    </row>
    <row r="10" spans="1:7" x14ac:dyDescent="0.4">
      <c r="A10" t="s">
        <v>126</v>
      </c>
      <c r="B10" s="31"/>
      <c r="C10" s="31"/>
      <c r="D10" s="31"/>
      <c r="E10" s="31"/>
      <c r="F10" s="31"/>
      <c r="G10" s="31"/>
    </row>
    <row r="11" spans="1:7" x14ac:dyDescent="0.4">
      <c r="A11" t="s">
        <v>127</v>
      </c>
      <c r="B11" s="31"/>
      <c r="C11" s="31"/>
      <c r="D11" s="31"/>
      <c r="E11" s="31"/>
      <c r="F11" s="31"/>
      <c r="G11" s="31"/>
    </row>
    <row r="12" spans="1:7" x14ac:dyDescent="0.4">
      <c r="A12" t="s">
        <v>128</v>
      </c>
      <c r="B12" s="31"/>
      <c r="C12" s="31"/>
      <c r="D12" s="31"/>
      <c r="E12" s="31"/>
      <c r="F12" s="31"/>
      <c r="G12" s="31"/>
    </row>
    <row r="13" spans="1:7" x14ac:dyDescent="0.4">
      <c r="A13" t="s">
        <v>129</v>
      </c>
      <c r="B13" s="31"/>
      <c r="C13" s="31"/>
      <c r="D13" s="31"/>
      <c r="E13" s="31"/>
      <c r="F13" s="31"/>
      <c r="G13" s="31"/>
    </row>
    <row r="14" spans="1:7" x14ac:dyDescent="0.4">
      <c r="A14" t="s">
        <v>130</v>
      </c>
      <c r="B14" s="31"/>
      <c r="C14" s="31"/>
      <c r="D14" s="31"/>
      <c r="E14" s="31"/>
      <c r="F14" s="31"/>
      <c r="G14" s="31"/>
    </row>
    <row r="15" spans="1:7" x14ac:dyDescent="0.4">
      <c r="A15" t="s">
        <v>131</v>
      </c>
      <c r="B15" s="31"/>
      <c r="C15" s="31"/>
      <c r="D15" s="31"/>
      <c r="E15" s="31"/>
      <c r="F15" s="31"/>
      <c r="G15" s="31"/>
    </row>
    <row r="16" spans="1:7" x14ac:dyDescent="0.4">
      <c r="A16" t="s">
        <v>132</v>
      </c>
      <c r="B16" s="31"/>
      <c r="C16" s="31"/>
      <c r="D16" s="31"/>
      <c r="E16" s="31"/>
      <c r="F16" s="31"/>
      <c r="G16" s="31"/>
    </row>
    <row r="17" spans="1:7" x14ac:dyDescent="0.4">
      <c r="A17" t="s">
        <v>76</v>
      </c>
      <c r="B17" s="31"/>
      <c r="C17" s="31"/>
      <c r="D17" s="31"/>
      <c r="E17" s="31"/>
      <c r="F17" s="31"/>
      <c r="G17" s="31"/>
    </row>
    <row r="18" spans="1:7" x14ac:dyDescent="0.4">
      <c r="A18" t="s">
        <v>84</v>
      </c>
      <c r="B18" s="32"/>
      <c r="C18" s="32"/>
      <c r="D18" s="32"/>
      <c r="E18" s="32"/>
      <c r="F18" s="32"/>
      <c r="G18" s="32"/>
    </row>
    <row r="20" spans="1:7" x14ac:dyDescent="0.4">
      <c r="A20" s="5" t="s">
        <v>141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BD555-F7BC-47B6-B31B-1C950BC32124}">
  <sheetPr codeName="Sheet7"/>
  <dimension ref="A1:R150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4" max="4" width="9" style="23"/>
    <col min="5" max="5" width="9" style="23" customWidth="1"/>
    <col min="6" max="9" width="9" style="23"/>
  </cols>
  <sheetData>
    <row r="1" spans="1:18" x14ac:dyDescent="0.4">
      <c r="A1" s="5" t="s">
        <v>111</v>
      </c>
      <c r="C1" t="str">
        <f>main!D6</f>
        <v>新潟市</v>
      </c>
      <c r="D1" s="23" t="s">
        <v>105</v>
      </c>
      <c r="E1" s="23" t="s">
        <v>106</v>
      </c>
      <c r="F1" s="23" t="s">
        <v>107</v>
      </c>
      <c r="G1" s="23" t="s">
        <v>108</v>
      </c>
      <c r="H1" s="23" t="s">
        <v>109</v>
      </c>
      <c r="I1" s="23" t="s">
        <v>110</v>
      </c>
      <c r="K1" s="5" t="s">
        <v>112</v>
      </c>
      <c r="M1" s="23" t="s">
        <v>105</v>
      </c>
      <c r="N1" s="23" t="s">
        <v>106</v>
      </c>
      <c r="O1" s="23" t="s">
        <v>107</v>
      </c>
      <c r="P1" s="23" t="s">
        <v>108</v>
      </c>
      <c r="Q1" s="23" t="s">
        <v>109</v>
      </c>
      <c r="R1" s="23" t="s">
        <v>110</v>
      </c>
    </row>
    <row r="2" spans="1:18" x14ac:dyDescent="0.4">
      <c r="A2" t="s">
        <v>62</v>
      </c>
      <c r="B2" s="24" t="s">
        <v>96</v>
      </c>
      <c r="C2" s="24">
        <v>2005</v>
      </c>
      <c r="D2" s="26" t="e">
        <f>世帯主率!C4</f>
        <v>#DIV/0!</v>
      </c>
      <c r="E2" s="26" t="e">
        <f>世帯主率!D4</f>
        <v>#DIV/0!</v>
      </c>
      <c r="F2" s="26" t="e">
        <f>世帯主率!E4</f>
        <v>#DIV/0!</v>
      </c>
      <c r="G2" s="26" t="e">
        <f>世帯主率!F4</f>
        <v>#DIV/0!</v>
      </c>
      <c r="H2" s="26" t="e">
        <f>世帯主率!G4</f>
        <v>#DIV/0!</v>
      </c>
      <c r="I2" s="26" t="e">
        <f>世帯主率!B4</f>
        <v>#DIV/0!</v>
      </c>
      <c r="K2" s="28" t="s">
        <v>113</v>
      </c>
      <c r="L2" s="22" t="s">
        <v>61</v>
      </c>
    </row>
    <row r="3" spans="1:18" x14ac:dyDescent="0.4">
      <c r="B3" s="24" t="s">
        <v>97</v>
      </c>
      <c r="C3" s="24">
        <v>2010</v>
      </c>
      <c r="D3" s="26" t="e">
        <f>世帯主率!C22</f>
        <v>#DIV/0!</v>
      </c>
      <c r="E3" s="26" t="e">
        <f>世帯主率!D22</f>
        <v>#DIV/0!</v>
      </c>
      <c r="F3" s="26" t="e">
        <f>世帯主率!E22</f>
        <v>#DIV/0!</v>
      </c>
      <c r="G3" s="26" t="e">
        <f>世帯主率!F22</f>
        <v>#DIV/0!</v>
      </c>
      <c r="H3" s="26" t="e">
        <f>世帯主率!G22</f>
        <v>#DIV/0!</v>
      </c>
      <c r="I3" s="26" t="e">
        <f>世帯主率!B22</f>
        <v>#DIV/0!</v>
      </c>
      <c r="L3" s="22" t="s">
        <v>62</v>
      </c>
      <c r="M3" s="20" t="e">
        <f t="shared" ref="M3:R3" si="0">D5</f>
        <v>#VALUE!</v>
      </c>
      <c r="N3" s="20" t="e">
        <f t="shared" si="0"/>
        <v>#VALUE!</v>
      </c>
      <c r="O3" s="20" t="e">
        <f t="shared" si="0"/>
        <v>#VALUE!</v>
      </c>
      <c r="P3" s="20" t="e">
        <f t="shared" si="0"/>
        <v>#VALUE!</v>
      </c>
      <c r="Q3" s="20" t="e">
        <f t="shared" si="0"/>
        <v>#VALUE!</v>
      </c>
      <c r="R3" s="20" t="e">
        <f t="shared" si="0"/>
        <v>#VALUE!</v>
      </c>
    </row>
    <row r="4" spans="1:18" ht="19.5" thickBot="1" x14ac:dyDescent="0.45">
      <c r="B4" s="25" t="s">
        <v>98</v>
      </c>
      <c r="C4" s="25">
        <v>2015</v>
      </c>
      <c r="D4" s="27" t="e">
        <f>世帯主率!C40</f>
        <v>#DIV/0!</v>
      </c>
      <c r="E4" s="27" t="e">
        <f>世帯主率!D40</f>
        <v>#DIV/0!</v>
      </c>
      <c r="F4" s="27" t="e">
        <f>世帯主率!E40</f>
        <v>#DIV/0!</v>
      </c>
      <c r="G4" s="27" t="e">
        <f>世帯主率!F40</f>
        <v>#DIV/0!</v>
      </c>
      <c r="H4" s="27" t="e">
        <f>世帯主率!G40</f>
        <v>#DIV/0!</v>
      </c>
      <c r="I4" s="27" t="e">
        <f>世帯主率!B40</f>
        <v>#DIV/0!</v>
      </c>
      <c r="L4" s="22" t="s">
        <v>63</v>
      </c>
      <c r="M4" s="20" t="e">
        <f t="shared" ref="M4:R4" si="1">D15</f>
        <v>#VALUE!</v>
      </c>
      <c r="N4" s="20" t="e">
        <f t="shared" si="1"/>
        <v>#VALUE!</v>
      </c>
      <c r="O4" s="20" t="e">
        <f t="shared" si="1"/>
        <v>#VALUE!</v>
      </c>
      <c r="P4" s="20" t="e">
        <f t="shared" si="1"/>
        <v>#VALUE!</v>
      </c>
      <c r="Q4" s="20" t="e">
        <f t="shared" si="1"/>
        <v>#VALUE!</v>
      </c>
      <c r="R4" s="20" t="e">
        <f t="shared" si="1"/>
        <v>#VALUE!</v>
      </c>
    </row>
    <row r="5" spans="1:18" x14ac:dyDescent="0.4">
      <c r="B5" t="s">
        <v>99</v>
      </c>
      <c r="C5">
        <v>2020</v>
      </c>
      <c r="D5" s="23" t="e">
        <f t="array" ref="D5:D10">TREND(D2:D4,C2:C4,C5:C10,TRUE)</f>
        <v>#VALUE!</v>
      </c>
      <c r="E5" s="23" t="e">
        <f t="array" ref="E5:E10">TREND(E2:E4,C2:C4,C5:C10,TRUE)</f>
        <v>#VALUE!</v>
      </c>
      <c r="F5" s="23" t="e">
        <f t="array" ref="F5:F10">TREND(F2:F4,C2:C4,C5:C10,TRUE)</f>
        <v>#VALUE!</v>
      </c>
      <c r="G5" s="23" t="e">
        <f t="array" ref="G5:G10">TREND(G2:G4,C2:C4,C5:C10,TRUE)</f>
        <v>#VALUE!</v>
      </c>
      <c r="H5" s="23" t="e" cm="1">
        <f t="array" ref="H5">TREND(H2:H4,C2:C4,C5:C10,TRUE)</f>
        <v>#VALUE!</v>
      </c>
      <c r="I5" s="23" t="e">
        <f t="array" ref="I5:I10">TREND(I2:I4,C2:C4,C5:C10,TRUE)</f>
        <v>#VALUE!</v>
      </c>
      <c r="L5" s="22" t="s">
        <v>64</v>
      </c>
      <c r="M5" s="20" t="e">
        <f t="shared" ref="M5:R5" si="2">D25</f>
        <v>#VALUE!</v>
      </c>
      <c r="N5" s="20" t="e">
        <f t="shared" si="2"/>
        <v>#VALUE!</v>
      </c>
      <c r="O5" s="20" t="e">
        <f t="shared" si="2"/>
        <v>#VALUE!</v>
      </c>
      <c r="P5" s="20" t="e">
        <f t="shared" si="2"/>
        <v>#VALUE!</v>
      </c>
      <c r="Q5" s="20" t="e">
        <f t="shared" si="2"/>
        <v>#VALUE!</v>
      </c>
      <c r="R5" s="20" t="e">
        <f t="shared" si="2"/>
        <v>#VALUE!</v>
      </c>
    </row>
    <row r="6" spans="1:18" x14ac:dyDescent="0.4">
      <c r="B6" t="s">
        <v>100</v>
      </c>
      <c r="C6">
        <v>2025</v>
      </c>
      <c r="D6" s="23" t="e">
        <v>#VALUE!</v>
      </c>
      <c r="E6" s="23" t="e">
        <v>#VALUE!</v>
      </c>
      <c r="F6" s="23" t="e">
        <v>#VALUE!</v>
      </c>
      <c r="G6" s="23" t="e">
        <v>#VALUE!</v>
      </c>
      <c r="I6" s="23" t="e">
        <v>#VALUE!</v>
      </c>
      <c r="L6" s="22" t="s">
        <v>65</v>
      </c>
      <c r="M6" s="20" t="e">
        <f t="shared" ref="M6:R6" si="3">D35</f>
        <v>#VALUE!</v>
      </c>
      <c r="N6" s="20" t="e">
        <f t="shared" si="3"/>
        <v>#VALUE!</v>
      </c>
      <c r="O6" s="20" t="e">
        <f t="shared" si="3"/>
        <v>#VALUE!</v>
      </c>
      <c r="P6" s="20" t="e">
        <f t="shared" si="3"/>
        <v>#VALUE!</v>
      </c>
      <c r="Q6" s="20" t="e">
        <f t="shared" si="3"/>
        <v>#VALUE!</v>
      </c>
      <c r="R6" s="20" t="e">
        <f t="shared" si="3"/>
        <v>#VALUE!</v>
      </c>
    </row>
    <row r="7" spans="1:18" x14ac:dyDescent="0.4">
      <c r="B7" t="s">
        <v>101</v>
      </c>
      <c r="C7">
        <v>2030</v>
      </c>
      <c r="D7" s="23" t="e">
        <v>#VALUE!</v>
      </c>
      <c r="E7" s="23" t="e">
        <v>#VALUE!</v>
      </c>
      <c r="F7" s="23" t="e">
        <v>#VALUE!</v>
      </c>
      <c r="G7" s="23" t="e">
        <v>#VALUE!</v>
      </c>
      <c r="I7" s="23" t="e">
        <v>#VALUE!</v>
      </c>
      <c r="L7" s="22" t="s">
        <v>66</v>
      </c>
      <c r="M7" s="20" t="e">
        <f t="shared" ref="M7:R7" si="4">D45</f>
        <v>#VALUE!</v>
      </c>
      <c r="N7" s="20" t="e">
        <f t="shared" si="4"/>
        <v>#VALUE!</v>
      </c>
      <c r="O7" s="20" t="e">
        <f t="shared" si="4"/>
        <v>#VALUE!</v>
      </c>
      <c r="P7" s="20" t="e">
        <f t="shared" si="4"/>
        <v>#VALUE!</v>
      </c>
      <c r="Q7" s="20" t="e">
        <f t="shared" si="4"/>
        <v>#VALUE!</v>
      </c>
      <c r="R7" s="20" t="e">
        <f t="shared" si="4"/>
        <v>#VALUE!</v>
      </c>
    </row>
    <row r="8" spans="1:18" x14ac:dyDescent="0.4">
      <c r="B8" t="s">
        <v>102</v>
      </c>
      <c r="C8">
        <v>2035</v>
      </c>
      <c r="D8" s="23" t="e">
        <v>#VALUE!</v>
      </c>
      <c r="E8" s="23" t="e">
        <v>#VALUE!</v>
      </c>
      <c r="F8" s="23" t="e">
        <v>#VALUE!</v>
      </c>
      <c r="G8" s="23" t="e">
        <v>#VALUE!</v>
      </c>
      <c r="I8" s="23" t="e">
        <v>#VALUE!</v>
      </c>
      <c r="L8" s="22" t="s">
        <v>67</v>
      </c>
      <c r="M8" s="20" t="e">
        <f t="shared" ref="M8:R8" si="5">D55</f>
        <v>#VALUE!</v>
      </c>
      <c r="N8" s="20" t="e">
        <f t="shared" si="5"/>
        <v>#VALUE!</v>
      </c>
      <c r="O8" s="20" t="e">
        <f t="shared" si="5"/>
        <v>#VALUE!</v>
      </c>
      <c r="P8" s="20" t="e">
        <f t="shared" si="5"/>
        <v>#VALUE!</v>
      </c>
      <c r="Q8" s="20" t="e">
        <f t="shared" si="5"/>
        <v>#VALUE!</v>
      </c>
      <c r="R8" s="20" t="e">
        <f t="shared" si="5"/>
        <v>#VALUE!</v>
      </c>
    </row>
    <row r="9" spans="1:18" x14ac:dyDescent="0.4">
      <c r="B9" t="s">
        <v>103</v>
      </c>
      <c r="C9">
        <v>2040</v>
      </c>
      <c r="D9" s="23" t="e">
        <v>#VALUE!</v>
      </c>
      <c r="E9" s="23" t="e">
        <v>#VALUE!</v>
      </c>
      <c r="F9" s="23" t="e">
        <v>#VALUE!</v>
      </c>
      <c r="G9" s="23" t="e">
        <v>#VALUE!</v>
      </c>
      <c r="I9" s="23" t="e">
        <v>#VALUE!</v>
      </c>
      <c r="L9" s="22" t="s">
        <v>68</v>
      </c>
      <c r="M9" s="20" t="e">
        <f t="shared" ref="M9:R9" si="6">D65</f>
        <v>#VALUE!</v>
      </c>
      <c r="N9" s="20" t="e">
        <f t="shared" si="6"/>
        <v>#VALUE!</v>
      </c>
      <c r="O9" s="20" t="e">
        <f t="shared" si="6"/>
        <v>#VALUE!</v>
      </c>
      <c r="P9" s="20" t="e">
        <f t="shared" si="6"/>
        <v>#VALUE!</v>
      </c>
      <c r="Q9" s="20" t="e">
        <f t="shared" si="6"/>
        <v>#VALUE!</v>
      </c>
      <c r="R9" s="20" t="e">
        <f t="shared" si="6"/>
        <v>#VALUE!</v>
      </c>
    </row>
    <row r="10" spans="1:18" x14ac:dyDescent="0.4">
      <c r="B10" t="s">
        <v>104</v>
      </c>
      <c r="C10">
        <v>2045</v>
      </c>
      <c r="D10" s="23" t="e">
        <v>#VALUE!</v>
      </c>
      <c r="E10" s="23" t="e">
        <v>#VALUE!</v>
      </c>
      <c r="F10" s="23" t="e">
        <v>#VALUE!</v>
      </c>
      <c r="G10" s="23" t="e">
        <v>#VALUE!</v>
      </c>
      <c r="I10" s="23" t="e">
        <v>#VALUE!</v>
      </c>
      <c r="L10" s="22" t="s">
        <v>69</v>
      </c>
      <c r="M10" s="20" t="e">
        <f t="shared" ref="M10:R10" si="7">D75</f>
        <v>#VALUE!</v>
      </c>
      <c r="N10" s="20" t="e">
        <f t="shared" si="7"/>
        <v>#VALUE!</v>
      </c>
      <c r="O10" s="20" t="e">
        <f t="shared" si="7"/>
        <v>#VALUE!</v>
      </c>
      <c r="P10" s="20" t="e">
        <f t="shared" si="7"/>
        <v>#VALUE!</v>
      </c>
      <c r="Q10" s="20" t="e">
        <f t="shared" si="7"/>
        <v>#VALUE!</v>
      </c>
      <c r="R10" s="20" t="e">
        <f t="shared" si="7"/>
        <v>#VALUE!</v>
      </c>
    </row>
    <row r="11" spans="1:18" x14ac:dyDescent="0.4">
      <c r="L11" s="22" t="s">
        <v>70</v>
      </c>
      <c r="M11" s="20" t="e">
        <f t="shared" ref="M11:R11" si="8">D85</f>
        <v>#VALUE!</v>
      </c>
      <c r="N11" s="20" t="e">
        <f t="shared" si="8"/>
        <v>#VALUE!</v>
      </c>
      <c r="O11" s="20" t="e">
        <f t="shared" si="8"/>
        <v>#VALUE!</v>
      </c>
      <c r="P11" s="20" t="e">
        <f t="shared" si="8"/>
        <v>#VALUE!</v>
      </c>
      <c r="Q11" s="20" t="e">
        <f t="shared" si="8"/>
        <v>#VALUE!</v>
      </c>
      <c r="R11" s="20" t="e">
        <f t="shared" si="8"/>
        <v>#VALUE!</v>
      </c>
    </row>
    <row r="12" spans="1:18" x14ac:dyDescent="0.4">
      <c r="A12" t="s">
        <v>63</v>
      </c>
      <c r="B12" s="24" t="s">
        <v>96</v>
      </c>
      <c r="C12" s="24">
        <v>2005</v>
      </c>
      <c r="D12" s="26" t="e">
        <f>世帯主率!C5</f>
        <v>#DIV/0!</v>
      </c>
      <c r="E12" s="26" t="e">
        <f>世帯主率!D5</f>
        <v>#DIV/0!</v>
      </c>
      <c r="F12" s="26" t="e">
        <f>世帯主率!E5</f>
        <v>#DIV/0!</v>
      </c>
      <c r="G12" s="26" t="e">
        <f>世帯主率!F5</f>
        <v>#DIV/0!</v>
      </c>
      <c r="H12" s="26" t="e">
        <f>世帯主率!G5</f>
        <v>#DIV/0!</v>
      </c>
      <c r="I12" s="26" t="e">
        <f>世帯主率!B5</f>
        <v>#DIV/0!</v>
      </c>
      <c r="L12" s="22" t="s">
        <v>71</v>
      </c>
      <c r="M12" s="20" t="e">
        <f t="shared" ref="M12:R12" si="9">D95</f>
        <v>#VALUE!</v>
      </c>
      <c r="N12" s="20" t="e">
        <f t="shared" si="9"/>
        <v>#VALUE!</v>
      </c>
      <c r="O12" s="20" t="e">
        <f t="shared" si="9"/>
        <v>#VALUE!</v>
      </c>
      <c r="P12" s="20" t="e">
        <f t="shared" si="9"/>
        <v>#VALUE!</v>
      </c>
      <c r="Q12" s="20" t="e">
        <f t="shared" si="9"/>
        <v>#VALUE!</v>
      </c>
      <c r="R12" s="20" t="e">
        <f t="shared" si="9"/>
        <v>#VALUE!</v>
      </c>
    </row>
    <row r="13" spans="1:18" x14ac:dyDescent="0.4">
      <c r="B13" s="24" t="s">
        <v>97</v>
      </c>
      <c r="C13" s="24">
        <v>2010</v>
      </c>
      <c r="D13" s="26" t="e">
        <f>世帯主率!C23</f>
        <v>#DIV/0!</v>
      </c>
      <c r="E13" s="26" t="e">
        <f>世帯主率!D23</f>
        <v>#DIV/0!</v>
      </c>
      <c r="F13" s="26" t="e">
        <f>世帯主率!E23</f>
        <v>#DIV/0!</v>
      </c>
      <c r="G13" s="26" t="e">
        <f>世帯主率!F23</f>
        <v>#DIV/0!</v>
      </c>
      <c r="H13" s="26" t="e">
        <f>世帯主率!G23</f>
        <v>#DIV/0!</v>
      </c>
      <c r="I13" s="26" t="e">
        <f>世帯主率!B23</f>
        <v>#DIV/0!</v>
      </c>
      <c r="L13" s="22" t="s">
        <v>72</v>
      </c>
      <c r="M13" s="20" t="e">
        <f t="shared" ref="M13:R13" si="10">D105</f>
        <v>#VALUE!</v>
      </c>
      <c r="N13" s="20" t="e">
        <f t="shared" si="10"/>
        <v>#VALUE!</v>
      </c>
      <c r="O13" s="20" t="e">
        <f t="shared" si="10"/>
        <v>#VALUE!</v>
      </c>
      <c r="P13" s="20" t="e">
        <f t="shared" si="10"/>
        <v>#VALUE!</v>
      </c>
      <c r="Q13" s="20" t="e">
        <f t="shared" si="10"/>
        <v>#VALUE!</v>
      </c>
      <c r="R13" s="20" t="e">
        <f t="shared" si="10"/>
        <v>#VALUE!</v>
      </c>
    </row>
    <row r="14" spans="1:18" ht="19.5" thickBot="1" x14ac:dyDescent="0.45">
      <c r="B14" s="25" t="s">
        <v>98</v>
      </c>
      <c r="C14" s="25">
        <v>2015</v>
      </c>
      <c r="D14" s="27" t="e">
        <f>世帯主率!C41</f>
        <v>#DIV/0!</v>
      </c>
      <c r="E14" s="27" t="e">
        <f>世帯主率!D41</f>
        <v>#DIV/0!</v>
      </c>
      <c r="F14" s="27" t="e">
        <f>世帯主率!E41</f>
        <v>#DIV/0!</v>
      </c>
      <c r="G14" s="27" t="e">
        <f>世帯主率!F41</f>
        <v>#DIV/0!</v>
      </c>
      <c r="H14" s="27" t="e">
        <f>世帯主率!G41</f>
        <v>#DIV/0!</v>
      </c>
      <c r="I14" s="27" t="e">
        <f>世帯主率!B41</f>
        <v>#DIV/0!</v>
      </c>
      <c r="L14" s="22" t="s">
        <v>73</v>
      </c>
      <c r="M14" s="20" t="e">
        <f t="shared" ref="M14:R14" si="11">D115</f>
        <v>#VALUE!</v>
      </c>
      <c r="N14" s="20" t="e">
        <f t="shared" si="11"/>
        <v>#VALUE!</v>
      </c>
      <c r="O14" s="20" t="e">
        <f t="shared" si="11"/>
        <v>#VALUE!</v>
      </c>
      <c r="P14" s="20" t="e">
        <f t="shared" si="11"/>
        <v>#VALUE!</v>
      </c>
      <c r="Q14" s="20" t="e">
        <f t="shared" si="11"/>
        <v>#VALUE!</v>
      </c>
      <c r="R14" s="20" t="e">
        <f t="shared" si="11"/>
        <v>#VALUE!</v>
      </c>
    </row>
    <row r="15" spans="1:18" x14ac:dyDescent="0.4">
      <c r="B15" t="s">
        <v>99</v>
      </c>
      <c r="C15">
        <v>2020</v>
      </c>
      <c r="D15" s="23" t="e">
        <f t="array" ref="D15:D20">TREND(D12:D14,C12:C14,C15:C20,TRUE)</f>
        <v>#VALUE!</v>
      </c>
      <c r="E15" s="23" t="e">
        <f t="array" ref="E15:E20">TREND(E12:E14,C12:C14,C15:C20,TRUE)</f>
        <v>#VALUE!</v>
      </c>
      <c r="F15" s="23" t="e">
        <f t="array" ref="F15:F20">TREND(F12:F14,C12:C14,C15:C20,TRUE)</f>
        <v>#VALUE!</v>
      </c>
      <c r="G15" s="23" t="e">
        <f t="array" ref="G15:G20">TREND(G12:G14,C12:C14,C15:C20,TRUE)</f>
        <v>#VALUE!</v>
      </c>
      <c r="H15" s="23" t="e" cm="1">
        <f t="array" ref="H15">TREND(H12:H14,C12:C14,C15:C20,TRUE)</f>
        <v>#VALUE!</v>
      </c>
      <c r="I15" s="23" t="e">
        <f t="array" ref="I15:I20">TREND(I12:I14,C12:C14,C15:C20,TRUE)</f>
        <v>#VALUE!</v>
      </c>
      <c r="L15" s="22" t="s">
        <v>74</v>
      </c>
      <c r="M15" s="20" t="e">
        <f t="shared" ref="M15:R15" si="12">D125</f>
        <v>#VALUE!</v>
      </c>
      <c r="N15" s="20" t="e">
        <f t="shared" si="12"/>
        <v>#VALUE!</v>
      </c>
      <c r="O15" s="20" t="e">
        <f t="shared" si="12"/>
        <v>#VALUE!</v>
      </c>
      <c r="P15" s="20" t="e">
        <f t="shared" si="12"/>
        <v>#VALUE!</v>
      </c>
      <c r="Q15" s="20" t="e">
        <f t="shared" si="12"/>
        <v>#VALUE!</v>
      </c>
      <c r="R15" s="20" t="e">
        <f t="shared" si="12"/>
        <v>#VALUE!</v>
      </c>
    </row>
    <row r="16" spans="1:18" x14ac:dyDescent="0.4">
      <c r="B16" t="s">
        <v>100</v>
      </c>
      <c r="C16">
        <v>2025</v>
      </c>
      <c r="D16" s="23" t="e">
        <v>#VALUE!</v>
      </c>
      <c r="E16" s="23" t="e">
        <v>#VALUE!</v>
      </c>
      <c r="F16" s="23" t="e">
        <v>#VALUE!</v>
      </c>
      <c r="G16" s="23" t="e">
        <v>#VALUE!</v>
      </c>
      <c r="I16" s="23" t="e">
        <v>#VALUE!</v>
      </c>
      <c r="L16" s="22" t="s">
        <v>75</v>
      </c>
      <c r="M16" s="20" t="e">
        <f t="shared" ref="M16:R16" si="13">D135</f>
        <v>#VALUE!</v>
      </c>
      <c r="N16" s="20" t="e">
        <f t="shared" si="13"/>
        <v>#VALUE!</v>
      </c>
      <c r="O16" s="20" t="e">
        <f t="shared" si="13"/>
        <v>#VALUE!</v>
      </c>
      <c r="P16" s="20" t="e">
        <f t="shared" si="13"/>
        <v>#VALUE!</v>
      </c>
      <c r="Q16" s="20" t="e">
        <f t="shared" si="13"/>
        <v>#VALUE!</v>
      </c>
      <c r="R16" s="20" t="e">
        <f t="shared" si="13"/>
        <v>#VALUE!</v>
      </c>
    </row>
    <row r="17" spans="1:18" x14ac:dyDescent="0.4">
      <c r="B17" t="s">
        <v>101</v>
      </c>
      <c r="C17">
        <v>2030</v>
      </c>
      <c r="D17" s="23" t="e">
        <v>#VALUE!</v>
      </c>
      <c r="E17" s="23" t="e">
        <v>#VALUE!</v>
      </c>
      <c r="F17" s="23" t="e">
        <v>#VALUE!</v>
      </c>
      <c r="G17" s="23" t="e">
        <v>#VALUE!</v>
      </c>
      <c r="I17" s="23" t="e">
        <v>#VALUE!</v>
      </c>
      <c r="L17" s="22" t="s">
        <v>76</v>
      </c>
      <c r="M17" s="20" t="e">
        <f t="shared" ref="M17:R17" si="14">D145</f>
        <v>#VALUE!</v>
      </c>
      <c r="N17" s="20" t="e">
        <f t="shared" si="14"/>
        <v>#VALUE!</v>
      </c>
      <c r="O17" s="20" t="e">
        <f t="shared" si="14"/>
        <v>#VALUE!</v>
      </c>
      <c r="P17" s="20" t="e">
        <f t="shared" si="14"/>
        <v>#VALUE!</v>
      </c>
      <c r="Q17" s="20" t="e">
        <f t="shared" si="14"/>
        <v>#VALUE!</v>
      </c>
      <c r="R17" s="20" t="e">
        <f t="shared" si="14"/>
        <v>#VALUE!</v>
      </c>
    </row>
    <row r="18" spans="1:18" x14ac:dyDescent="0.4">
      <c r="B18" t="s">
        <v>102</v>
      </c>
      <c r="C18">
        <v>2035</v>
      </c>
      <c r="D18" s="23" t="e">
        <v>#VALUE!</v>
      </c>
      <c r="E18" s="23" t="e">
        <v>#VALUE!</v>
      </c>
      <c r="F18" s="23" t="e">
        <v>#VALUE!</v>
      </c>
      <c r="G18" s="23" t="e">
        <v>#VALUE!</v>
      </c>
      <c r="I18" s="23" t="e">
        <v>#VALUE!</v>
      </c>
    </row>
    <row r="19" spans="1:18" x14ac:dyDescent="0.4">
      <c r="B19" t="s">
        <v>103</v>
      </c>
      <c r="C19">
        <v>2040</v>
      </c>
      <c r="D19" s="23" t="e">
        <v>#VALUE!</v>
      </c>
      <c r="E19" s="23" t="e">
        <v>#VALUE!</v>
      </c>
      <c r="F19" s="23" t="e">
        <v>#VALUE!</v>
      </c>
      <c r="G19" s="23" t="e">
        <v>#VALUE!</v>
      </c>
      <c r="I19" s="23" t="e">
        <v>#VALUE!</v>
      </c>
      <c r="K19" s="28" t="s">
        <v>114</v>
      </c>
      <c r="L19" s="22" t="s">
        <v>61</v>
      </c>
    </row>
    <row r="20" spans="1:18" x14ac:dyDescent="0.4">
      <c r="B20" t="s">
        <v>104</v>
      </c>
      <c r="C20">
        <v>2045</v>
      </c>
      <c r="D20" s="23" t="e">
        <v>#VALUE!</v>
      </c>
      <c r="E20" s="23" t="e">
        <v>#VALUE!</v>
      </c>
      <c r="F20" s="23" t="e">
        <v>#VALUE!</v>
      </c>
      <c r="G20" s="23" t="e">
        <v>#VALUE!</v>
      </c>
      <c r="I20" s="23" t="e">
        <v>#VALUE!</v>
      </c>
      <c r="L20" s="22" t="s">
        <v>62</v>
      </c>
      <c r="M20" s="20" t="e">
        <f t="shared" ref="M20:R20" si="15">D6</f>
        <v>#VALUE!</v>
      </c>
      <c r="N20" s="20" t="e">
        <f t="shared" si="15"/>
        <v>#VALUE!</v>
      </c>
      <c r="O20" s="20" t="e">
        <f t="shared" si="15"/>
        <v>#VALUE!</v>
      </c>
      <c r="P20" s="20" t="e">
        <f t="shared" si="15"/>
        <v>#VALUE!</v>
      </c>
      <c r="Q20" s="20">
        <f t="shared" si="15"/>
        <v>0</v>
      </c>
      <c r="R20" s="20" t="e">
        <f t="shared" si="15"/>
        <v>#VALUE!</v>
      </c>
    </row>
    <row r="21" spans="1:18" x14ac:dyDescent="0.4">
      <c r="L21" s="22" t="s">
        <v>63</v>
      </c>
      <c r="M21" s="20" t="e">
        <f t="shared" ref="M21:R21" si="16">D16</f>
        <v>#VALUE!</v>
      </c>
      <c r="N21" s="20" t="e">
        <f t="shared" si="16"/>
        <v>#VALUE!</v>
      </c>
      <c r="O21" s="20" t="e">
        <f t="shared" si="16"/>
        <v>#VALUE!</v>
      </c>
      <c r="P21" s="20" t="e">
        <f t="shared" si="16"/>
        <v>#VALUE!</v>
      </c>
      <c r="Q21" s="20">
        <f t="shared" si="16"/>
        <v>0</v>
      </c>
      <c r="R21" s="20" t="e">
        <f t="shared" si="16"/>
        <v>#VALUE!</v>
      </c>
    </row>
    <row r="22" spans="1:18" x14ac:dyDescent="0.4">
      <c r="A22" t="s">
        <v>64</v>
      </c>
      <c r="B22" s="24" t="s">
        <v>96</v>
      </c>
      <c r="C22" s="24">
        <v>2005</v>
      </c>
      <c r="D22" s="26" t="e">
        <f>世帯主率!C6</f>
        <v>#DIV/0!</v>
      </c>
      <c r="E22" s="26" t="e">
        <f>世帯主率!D6</f>
        <v>#DIV/0!</v>
      </c>
      <c r="F22" s="26" t="e">
        <f>世帯主率!E6</f>
        <v>#DIV/0!</v>
      </c>
      <c r="G22" s="26" t="e">
        <f>世帯主率!F6</f>
        <v>#DIV/0!</v>
      </c>
      <c r="H22" s="26" t="e">
        <f>世帯主率!G6</f>
        <v>#DIV/0!</v>
      </c>
      <c r="I22" s="26" t="e">
        <f>世帯主率!B6</f>
        <v>#DIV/0!</v>
      </c>
      <c r="L22" s="22" t="s">
        <v>64</v>
      </c>
      <c r="M22" s="20" t="e">
        <f t="shared" ref="M22:R22" si="17">D26</f>
        <v>#VALUE!</v>
      </c>
      <c r="N22" s="20" t="e">
        <f t="shared" si="17"/>
        <v>#VALUE!</v>
      </c>
      <c r="O22" s="20" t="e">
        <f t="shared" si="17"/>
        <v>#VALUE!</v>
      </c>
      <c r="P22" s="20" t="e">
        <f t="shared" si="17"/>
        <v>#VALUE!</v>
      </c>
      <c r="Q22" s="20">
        <f t="shared" si="17"/>
        <v>0</v>
      </c>
      <c r="R22" s="20" t="e">
        <f t="shared" si="17"/>
        <v>#VALUE!</v>
      </c>
    </row>
    <row r="23" spans="1:18" x14ac:dyDescent="0.4">
      <c r="B23" s="24" t="s">
        <v>97</v>
      </c>
      <c r="C23" s="24">
        <v>2010</v>
      </c>
      <c r="D23" s="26" t="e">
        <f>世帯主率!C24</f>
        <v>#DIV/0!</v>
      </c>
      <c r="E23" s="26" t="e">
        <f>世帯主率!D24</f>
        <v>#DIV/0!</v>
      </c>
      <c r="F23" s="26" t="e">
        <f>世帯主率!E24</f>
        <v>#DIV/0!</v>
      </c>
      <c r="G23" s="26" t="e">
        <f>世帯主率!F24</f>
        <v>#DIV/0!</v>
      </c>
      <c r="H23" s="26" t="e">
        <f>世帯主率!G24</f>
        <v>#DIV/0!</v>
      </c>
      <c r="I23" s="26" t="e">
        <f>世帯主率!B24</f>
        <v>#DIV/0!</v>
      </c>
      <c r="L23" s="22" t="s">
        <v>65</v>
      </c>
      <c r="M23" s="20" t="e">
        <f t="shared" ref="M23:R23" si="18">D36</f>
        <v>#VALUE!</v>
      </c>
      <c r="N23" s="20" t="e">
        <f t="shared" si="18"/>
        <v>#VALUE!</v>
      </c>
      <c r="O23" s="20" t="e">
        <f t="shared" si="18"/>
        <v>#VALUE!</v>
      </c>
      <c r="P23" s="20" t="e">
        <f t="shared" si="18"/>
        <v>#VALUE!</v>
      </c>
      <c r="Q23" s="20">
        <f t="shared" si="18"/>
        <v>0</v>
      </c>
      <c r="R23" s="20" t="e">
        <f t="shared" si="18"/>
        <v>#VALUE!</v>
      </c>
    </row>
    <row r="24" spans="1:18" ht="19.5" thickBot="1" x14ac:dyDescent="0.45">
      <c r="B24" s="25" t="s">
        <v>98</v>
      </c>
      <c r="C24" s="25">
        <v>2015</v>
      </c>
      <c r="D24" s="27" t="e">
        <f>世帯主率!C42</f>
        <v>#DIV/0!</v>
      </c>
      <c r="E24" s="27" t="e">
        <f>世帯主率!D42</f>
        <v>#DIV/0!</v>
      </c>
      <c r="F24" s="27" t="e">
        <f>世帯主率!E42</f>
        <v>#DIV/0!</v>
      </c>
      <c r="G24" s="27" t="e">
        <f>世帯主率!F42</f>
        <v>#DIV/0!</v>
      </c>
      <c r="H24" s="27" t="e">
        <f>世帯主率!G42</f>
        <v>#DIV/0!</v>
      </c>
      <c r="I24" s="27" t="e">
        <f>世帯主率!B42</f>
        <v>#DIV/0!</v>
      </c>
      <c r="L24" s="22" t="s">
        <v>66</v>
      </c>
      <c r="M24" s="20" t="e">
        <f t="shared" ref="M24:R24" si="19">D46</f>
        <v>#VALUE!</v>
      </c>
      <c r="N24" s="20" t="e">
        <f t="shared" si="19"/>
        <v>#VALUE!</v>
      </c>
      <c r="O24" s="20" t="e">
        <f t="shared" si="19"/>
        <v>#VALUE!</v>
      </c>
      <c r="P24" s="20" t="e">
        <f t="shared" si="19"/>
        <v>#VALUE!</v>
      </c>
      <c r="Q24" s="20">
        <f t="shared" si="19"/>
        <v>0</v>
      </c>
      <c r="R24" s="20" t="e">
        <f t="shared" si="19"/>
        <v>#VALUE!</v>
      </c>
    </row>
    <row r="25" spans="1:18" x14ac:dyDescent="0.4">
      <c r="B25" t="s">
        <v>99</v>
      </c>
      <c r="C25">
        <v>2020</v>
      </c>
      <c r="D25" s="23" t="e">
        <f t="array" ref="D25:D30">TREND(D22:D24,C22:C24,C25:C30,TRUE)</f>
        <v>#VALUE!</v>
      </c>
      <c r="E25" s="23" t="e">
        <f t="array" ref="E25:E30">TREND(E22:E24,C22:C24,C25:C30,TRUE)</f>
        <v>#VALUE!</v>
      </c>
      <c r="F25" s="23" t="e">
        <f t="array" ref="F25:F30">TREND(F22:F24,C22:C24,C25:C30,TRUE)</f>
        <v>#VALUE!</v>
      </c>
      <c r="G25" s="23" t="e">
        <f t="array" ref="G25:G30">TREND(G22:G24,C22:C24,C25:C30,TRUE)</f>
        <v>#VALUE!</v>
      </c>
      <c r="H25" s="23" t="e" cm="1">
        <f t="array" ref="H25">TREND(H22:H24,C22:C24,C25:C30,TRUE)</f>
        <v>#VALUE!</v>
      </c>
      <c r="I25" s="23" t="e">
        <f t="array" ref="I25:I30">TREND(I22:I24,C22:C24,C25:C30,TRUE)</f>
        <v>#VALUE!</v>
      </c>
      <c r="L25" s="22" t="s">
        <v>67</v>
      </c>
      <c r="M25" s="20" t="e">
        <f t="shared" ref="M25:R25" si="20">D56</f>
        <v>#VALUE!</v>
      </c>
      <c r="N25" s="20" t="e">
        <f t="shared" si="20"/>
        <v>#VALUE!</v>
      </c>
      <c r="O25" s="20" t="e">
        <f t="shared" si="20"/>
        <v>#VALUE!</v>
      </c>
      <c r="P25" s="20" t="e">
        <f t="shared" si="20"/>
        <v>#VALUE!</v>
      </c>
      <c r="Q25" s="20">
        <f t="shared" si="20"/>
        <v>0</v>
      </c>
      <c r="R25" s="20" t="e">
        <f t="shared" si="20"/>
        <v>#VALUE!</v>
      </c>
    </row>
    <row r="26" spans="1:18" x14ac:dyDescent="0.4">
      <c r="B26" t="s">
        <v>100</v>
      </c>
      <c r="C26">
        <v>2025</v>
      </c>
      <c r="D26" s="23" t="e">
        <v>#VALUE!</v>
      </c>
      <c r="E26" s="23" t="e">
        <v>#VALUE!</v>
      </c>
      <c r="F26" s="23" t="e">
        <v>#VALUE!</v>
      </c>
      <c r="G26" s="23" t="e">
        <v>#VALUE!</v>
      </c>
      <c r="I26" s="23" t="e">
        <v>#VALUE!</v>
      </c>
      <c r="L26" s="22" t="s">
        <v>68</v>
      </c>
      <c r="M26" s="20" t="e">
        <f t="shared" ref="M26:R26" si="21">D66</f>
        <v>#VALUE!</v>
      </c>
      <c r="N26" s="20" t="e">
        <f t="shared" si="21"/>
        <v>#VALUE!</v>
      </c>
      <c r="O26" s="20" t="e">
        <f t="shared" si="21"/>
        <v>#VALUE!</v>
      </c>
      <c r="P26" s="20" t="e">
        <f t="shared" si="21"/>
        <v>#VALUE!</v>
      </c>
      <c r="Q26" s="20">
        <f t="shared" si="21"/>
        <v>0</v>
      </c>
      <c r="R26" s="20" t="e">
        <f t="shared" si="21"/>
        <v>#VALUE!</v>
      </c>
    </row>
    <row r="27" spans="1:18" x14ac:dyDescent="0.4">
      <c r="B27" t="s">
        <v>101</v>
      </c>
      <c r="C27">
        <v>2030</v>
      </c>
      <c r="D27" s="23" t="e">
        <v>#VALUE!</v>
      </c>
      <c r="E27" s="23" t="e">
        <v>#VALUE!</v>
      </c>
      <c r="F27" s="23" t="e">
        <v>#VALUE!</v>
      </c>
      <c r="G27" s="23" t="e">
        <v>#VALUE!</v>
      </c>
      <c r="I27" s="23" t="e">
        <v>#VALUE!</v>
      </c>
      <c r="L27" s="22" t="s">
        <v>69</v>
      </c>
      <c r="M27" s="20" t="e">
        <f t="shared" ref="M27:R27" si="22">D76</f>
        <v>#VALUE!</v>
      </c>
      <c r="N27" s="20" t="e">
        <f t="shared" si="22"/>
        <v>#VALUE!</v>
      </c>
      <c r="O27" s="20" t="e">
        <f t="shared" si="22"/>
        <v>#VALUE!</v>
      </c>
      <c r="P27" s="20" t="e">
        <f t="shared" si="22"/>
        <v>#VALUE!</v>
      </c>
      <c r="Q27" s="20">
        <f t="shared" si="22"/>
        <v>0</v>
      </c>
      <c r="R27" s="20" t="e">
        <f t="shared" si="22"/>
        <v>#VALUE!</v>
      </c>
    </row>
    <row r="28" spans="1:18" x14ac:dyDescent="0.4">
      <c r="B28" t="s">
        <v>102</v>
      </c>
      <c r="C28">
        <v>2035</v>
      </c>
      <c r="D28" s="23" t="e">
        <v>#VALUE!</v>
      </c>
      <c r="E28" s="23" t="e">
        <v>#VALUE!</v>
      </c>
      <c r="F28" s="23" t="e">
        <v>#VALUE!</v>
      </c>
      <c r="G28" s="23" t="e">
        <v>#VALUE!</v>
      </c>
      <c r="I28" s="23" t="e">
        <v>#VALUE!</v>
      </c>
      <c r="L28" s="22" t="s">
        <v>70</v>
      </c>
      <c r="M28" s="20" t="e">
        <f t="shared" ref="M28:R28" si="23">D86</f>
        <v>#VALUE!</v>
      </c>
      <c r="N28" s="20" t="e">
        <f t="shared" si="23"/>
        <v>#VALUE!</v>
      </c>
      <c r="O28" s="20" t="e">
        <f t="shared" si="23"/>
        <v>#VALUE!</v>
      </c>
      <c r="P28" s="20" t="e">
        <f t="shared" si="23"/>
        <v>#VALUE!</v>
      </c>
      <c r="Q28" s="20">
        <f t="shared" si="23"/>
        <v>0</v>
      </c>
      <c r="R28" s="20" t="e">
        <f t="shared" si="23"/>
        <v>#VALUE!</v>
      </c>
    </row>
    <row r="29" spans="1:18" x14ac:dyDescent="0.4">
      <c r="B29" t="s">
        <v>103</v>
      </c>
      <c r="C29">
        <v>2040</v>
      </c>
      <c r="D29" s="23" t="e">
        <v>#VALUE!</v>
      </c>
      <c r="E29" s="23" t="e">
        <v>#VALUE!</v>
      </c>
      <c r="F29" s="23" t="e">
        <v>#VALUE!</v>
      </c>
      <c r="G29" s="23" t="e">
        <v>#VALUE!</v>
      </c>
      <c r="I29" s="23" t="e">
        <v>#VALUE!</v>
      </c>
      <c r="L29" s="22" t="s">
        <v>71</v>
      </c>
      <c r="M29" s="20" t="e">
        <f t="shared" ref="M29:R29" si="24">D96</f>
        <v>#VALUE!</v>
      </c>
      <c r="N29" s="20" t="e">
        <f t="shared" si="24"/>
        <v>#VALUE!</v>
      </c>
      <c r="O29" s="20" t="e">
        <f t="shared" si="24"/>
        <v>#VALUE!</v>
      </c>
      <c r="P29" s="20" t="e">
        <f t="shared" si="24"/>
        <v>#VALUE!</v>
      </c>
      <c r="Q29" s="20">
        <f t="shared" si="24"/>
        <v>0</v>
      </c>
      <c r="R29" s="20" t="e">
        <f t="shared" si="24"/>
        <v>#VALUE!</v>
      </c>
    </row>
    <row r="30" spans="1:18" x14ac:dyDescent="0.4">
      <c r="B30" t="s">
        <v>104</v>
      </c>
      <c r="C30">
        <v>2045</v>
      </c>
      <c r="D30" s="23" t="e">
        <v>#VALUE!</v>
      </c>
      <c r="E30" s="23" t="e">
        <v>#VALUE!</v>
      </c>
      <c r="F30" s="23" t="e">
        <v>#VALUE!</v>
      </c>
      <c r="G30" s="23" t="e">
        <v>#VALUE!</v>
      </c>
      <c r="I30" s="23" t="e">
        <v>#VALUE!</v>
      </c>
      <c r="L30" s="22" t="s">
        <v>72</v>
      </c>
      <c r="M30" s="20" t="e">
        <f t="shared" ref="M30:R30" si="25">D106</f>
        <v>#VALUE!</v>
      </c>
      <c r="N30" s="20" t="e">
        <f t="shared" si="25"/>
        <v>#VALUE!</v>
      </c>
      <c r="O30" s="20" t="e">
        <f t="shared" si="25"/>
        <v>#VALUE!</v>
      </c>
      <c r="P30" s="20" t="e">
        <f t="shared" si="25"/>
        <v>#VALUE!</v>
      </c>
      <c r="Q30" s="20">
        <f t="shared" si="25"/>
        <v>0</v>
      </c>
      <c r="R30" s="20" t="e">
        <f t="shared" si="25"/>
        <v>#VALUE!</v>
      </c>
    </row>
    <row r="31" spans="1:18" x14ac:dyDescent="0.4">
      <c r="L31" s="22" t="s">
        <v>73</v>
      </c>
      <c r="M31" s="20" t="e">
        <f t="shared" ref="M31:R31" si="26">D116</f>
        <v>#VALUE!</v>
      </c>
      <c r="N31" s="20" t="e">
        <f t="shared" si="26"/>
        <v>#VALUE!</v>
      </c>
      <c r="O31" s="20" t="e">
        <f t="shared" si="26"/>
        <v>#VALUE!</v>
      </c>
      <c r="P31" s="20" t="e">
        <f t="shared" si="26"/>
        <v>#VALUE!</v>
      </c>
      <c r="Q31" s="20">
        <f t="shared" si="26"/>
        <v>0</v>
      </c>
      <c r="R31" s="20" t="e">
        <f t="shared" si="26"/>
        <v>#VALUE!</v>
      </c>
    </row>
    <row r="32" spans="1:18" x14ac:dyDescent="0.4">
      <c r="A32" t="s">
        <v>65</v>
      </c>
      <c r="B32" s="24" t="s">
        <v>96</v>
      </c>
      <c r="C32" s="24">
        <v>2005</v>
      </c>
      <c r="D32" s="26" t="e">
        <f>世帯主率!C7</f>
        <v>#DIV/0!</v>
      </c>
      <c r="E32" s="26" t="e">
        <f>世帯主率!D7</f>
        <v>#DIV/0!</v>
      </c>
      <c r="F32" s="26" t="e">
        <f>世帯主率!E7</f>
        <v>#DIV/0!</v>
      </c>
      <c r="G32" s="26" t="e">
        <f>世帯主率!F7</f>
        <v>#DIV/0!</v>
      </c>
      <c r="H32" s="26" t="e">
        <f>世帯主率!G7</f>
        <v>#DIV/0!</v>
      </c>
      <c r="I32" s="26" t="e">
        <f>世帯主率!B7</f>
        <v>#DIV/0!</v>
      </c>
      <c r="L32" s="22" t="s">
        <v>74</v>
      </c>
      <c r="M32" s="20" t="e">
        <f t="shared" ref="M32:R32" si="27">D126</f>
        <v>#VALUE!</v>
      </c>
      <c r="N32" s="20" t="e">
        <f t="shared" si="27"/>
        <v>#VALUE!</v>
      </c>
      <c r="O32" s="20" t="e">
        <f t="shared" si="27"/>
        <v>#VALUE!</v>
      </c>
      <c r="P32" s="20" t="e">
        <f t="shared" si="27"/>
        <v>#VALUE!</v>
      </c>
      <c r="Q32" s="20">
        <f t="shared" si="27"/>
        <v>0</v>
      </c>
      <c r="R32" s="20" t="e">
        <f t="shared" si="27"/>
        <v>#VALUE!</v>
      </c>
    </row>
    <row r="33" spans="1:18" x14ac:dyDescent="0.4">
      <c r="B33" s="24" t="s">
        <v>97</v>
      </c>
      <c r="C33" s="24">
        <v>2010</v>
      </c>
      <c r="D33" s="26" t="e">
        <f>世帯主率!C25</f>
        <v>#DIV/0!</v>
      </c>
      <c r="E33" s="26" t="e">
        <f>世帯主率!D25</f>
        <v>#DIV/0!</v>
      </c>
      <c r="F33" s="26" t="e">
        <f>世帯主率!E25</f>
        <v>#DIV/0!</v>
      </c>
      <c r="G33" s="26" t="e">
        <f>世帯主率!F25</f>
        <v>#DIV/0!</v>
      </c>
      <c r="H33" s="26" t="e">
        <f>世帯主率!G25</f>
        <v>#DIV/0!</v>
      </c>
      <c r="I33" s="26" t="e">
        <f>世帯主率!B25</f>
        <v>#DIV/0!</v>
      </c>
      <c r="L33" s="22" t="s">
        <v>75</v>
      </c>
      <c r="M33" s="20" t="e">
        <f t="shared" ref="M33:R33" si="28">D136</f>
        <v>#VALUE!</v>
      </c>
      <c r="N33" s="20" t="e">
        <f t="shared" si="28"/>
        <v>#VALUE!</v>
      </c>
      <c r="O33" s="20" t="e">
        <f t="shared" si="28"/>
        <v>#VALUE!</v>
      </c>
      <c r="P33" s="20" t="e">
        <f t="shared" si="28"/>
        <v>#VALUE!</v>
      </c>
      <c r="Q33" s="20">
        <f t="shared" si="28"/>
        <v>0</v>
      </c>
      <c r="R33" s="20" t="e">
        <f t="shared" si="28"/>
        <v>#VALUE!</v>
      </c>
    </row>
    <row r="34" spans="1:18" ht="19.5" thickBot="1" x14ac:dyDescent="0.45">
      <c r="B34" s="25" t="s">
        <v>98</v>
      </c>
      <c r="C34" s="25">
        <v>2015</v>
      </c>
      <c r="D34" s="27" t="e">
        <f>世帯主率!C43</f>
        <v>#DIV/0!</v>
      </c>
      <c r="E34" s="27" t="e">
        <f>世帯主率!D43</f>
        <v>#DIV/0!</v>
      </c>
      <c r="F34" s="27" t="e">
        <f>世帯主率!E43</f>
        <v>#DIV/0!</v>
      </c>
      <c r="G34" s="27" t="e">
        <f>世帯主率!F43</f>
        <v>#DIV/0!</v>
      </c>
      <c r="H34" s="27" t="e">
        <f>世帯主率!G43</f>
        <v>#DIV/0!</v>
      </c>
      <c r="I34" s="27" t="e">
        <f>世帯主率!B43</f>
        <v>#DIV/0!</v>
      </c>
      <c r="L34" s="22" t="s">
        <v>76</v>
      </c>
      <c r="M34" s="20" t="e">
        <f t="shared" ref="M34:R34" si="29">D146</f>
        <v>#VALUE!</v>
      </c>
      <c r="N34" s="20" t="e">
        <f t="shared" si="29"/>
        <v>#VALUE!</v>
      </c>
      <c r="O34" s="20" t="e">
        <f t="shared" si="29"/>
        <v>#VALUE!</v>
      </c>
      <c r="P34" s="20" t="e">
        <f t="shared" si="29"/>
        <v>#VALUE!</v>
      </c>
      <c r="Q34" s="20">
        <f t="shared" si="29"/>
        <v>0</v>
      </c>
      <c r="R34" s="20" t="e">
        <f t="shared" si="29"/>
        <v>#VALUE!</v>
      </c>
    </row>
    <row r="35" spans="1:18" x14ac:dyDescent="0.4">
      <c r="B35" t="s">
        <v>99</v>
      </c>
      <c r="C35">
        <v>2020</v>
      </c>
      <c r="D35" s="23" t="e">
        <f t="array" ref="D35:D40">TREND(D32:D34,C32:C34,C35:C40,TRUE)</f>
        <v>#VALUE!</v>
      </c>
      <c r="E35" s="23" t="e">
        <f t="array" ref="E35:E40">TREND(E32:E34,C32:C34,C35:C40,TRUE)</f>
        <v>#VALUE!</v>
      </c>
      <c r="F35" s="23" t="e">
        <f t="array" ref="F35:F40">TREND(F32:F34,C32:C34,C35:C40,TRUE)</f>
        <v>#VALUE!</v>
      </c>
      <c r="G35" s="23" t="e">
        <f t="array" ref="G35:G40">TREND(G32:G34,C32:C34,C35:C40,TRUE)</f>
        <v>#VALUE!</v>
      </c>
      <c r="H35" s="23" t="e" cm="1">
        <f t="array" ref="H35">TREND(H32:H34,C32:C34,C35:C40,TRUE)</f>
        <v>#VALUE!</v>
      </c>
      <c r="I35" s="23" t="e">
        <f t="array" ref="I35:I40">TREND(I32:I34,C32:C34,C35:C40,TRUE)</f>
        <v>#VALUE!</v>
      </c>
    </row>
    <row r="36" spans="1:18" x14ac:dyDescent="0.4">
      <c r="B36" t="s">
        <v>100</v>
      </c>
      <c r="C36">
        <v>2025</v>
      </c>
      <c r="D36" s="23" t="e">
        <v>#VALUE!</v>
      </c>
      <c r="E36" s="23" t="e">
        <v>#VALUE!</v>
      </c>
      <c r="F36" s="23" t="e">
        <v>#VALUE!</v>
      </c>
      <c r="G36" s="23" t="e">
        <v>#VALUE!</v>
      </c>
      <c r="I36" s="23" t="e">
        <v>#VALUE!</v>
      </c>
      <c r="K36" s="28" t="s">
        <v>115</v>
      </c>
      <c r="L36" s="22" t="s">
        <v>61</v>
      </c>
    </row>
    <row r="37" spans="1:18" x14ac:dyDescent="0.4">
      <c r="B37" t="s">
        <v>101</v>
      </c>
      <c r="C37">
        <v>2030</v>
      </c>
      <c r="D37" s="23" t="e">
        <v>#VALUE!</v>
      </c>
      <c r="E37" s="23" t="e">
        <v>#VALUE!</v>
      </c>
      <c r="F37" s="23" t="e">
        <v>#VALUE!</v>
      </c>
      <c r="G37" s="23" t="e">
        <v>#VALUE!</v>
      </c>
      <c r="I37" s="23" t="e">
        <v>#VALUE!</v>
      </c>
      <c r="L37" s="22" t="s">
        <v>62</v>
      </c>
      <c r="M37" s="20" t="e">
        <f t="shared" ref="M37:R37" si="30">D7</f>
        <v>#VALUE!</v>
      </c>
      <c r="N37" s="20" t="e">
        <f t="shared" si="30"/>
        <v>#VALUE!</v>
      </c>
      <c r="O37" s="20" t="e">
        <f t="shared" si="30"/>
        <v>#VALUE!</v>
      </c>
      <c r="P37" s="20" t="e">
        <f t="shared" si="30"/>
        <v>#VALUE!</v>
      </c>
      <c r="Q37" s="20">
        <f t="shared" si="30"/>
        <v>0</v>
      </c>
      <c r="R37" s="20" t="e">
        <f t="shared" si="30"/>
        <v>#VALUE!</v>
      </c>
    </row>
    <row r="38" spans="1:18" x14ac:dyDescent="0.4">
      <c r="B38" t="s">
        <v>102</v>
      </c>
      <c r="C38">
        <v>2035</v>
      </c>
      <c r="D38" s="23" t="e">
        <v>#VALUE!</v>
      </c>
      <c r="E38" s="23" t="e">
        <v>#VALUE!</v>
      </c>
      <c r="F38" s="23" t="e">
        <v>#VALUE!</v>
      </c>
      <c r="G38" s="23" t="e">
        <v>#VALUE!</v>
      </c>
      <c r="I38" s="23" t="e">
        <v>#VALUE!</v>
      </c>
      <c r="L38" s="22" t="s">
        <v>63</v>
      </c>
      <c r="M38" s="20" t="e">
        <f t="shared" ref="M38:R38" si="31">D17</f>
        <v>#VALUE!</v>
      </c>
      <c r="N38" s="20" t="e">
        <f t="shared" si="31"/>
        <v>#VALUE!</v>
      </c>
      <c r="O38" s="20" t="e">
        <f t="shared" si="31"/>
        <v>#VALUE!</v>
      </c>
      <c r="P38" s="20" t="e">
        <f t="shared" si="31"/>
        <v>#VALUE!</v>
      </c>
      <c r="Q38" s="20">
        <f t="shared" si="31"/>
        <v>0</v>
      </c>
      <c r="R38" s="20" t="e">
        <f t="shared" si="31"/>
        <v>#VALUE!</v>
      </c>
    </row>
    <row r="39" spans="1:18" x14ac:dyDescent="0.4">
      <c r="B39" t="s">
        <v>103</v>
      </c>
      <c r="C39">
        <v>2040</v>
      </c>
      <c r="D39" s="23" t="e">
        <v>#VALUE!</v>
      </c>
      <c r="E39" s="23" t="e">
        <v>#VALUE!</v>
      </c>
      <c r="F39" s="23" t="e">
        <v>#VALUE!</v>
      </c>
      <c r="G39" s="23" t="e">
        <v>#VALUE!</v>
      </c>
      <c r="I39" s="23" t="e">
        <v>#VALUE!</v>
      </c>
      <c r="L39" s="22" t="s">
        <v>64</v>
      </c>
      <c r="M39" s="20" t="e">
        <f t="shared" ref="M39:R39" si="32">D27</f>
        <v>#VALUE!</v>
      </c>
      <c r="N39" s="20" t="e">
        <f t="shared" si="32"/>
        <v>#VALUE!</v>
      </c>
      <c r="O39" s="20" t="e">
        <f t="shared" si="32"/>
        <v>#VALUE!</v>
      </c>
      <c r="P39" s="20" t="e">
        <f t="shared" si="32"/>
        <v>#VALUE!</v>
      </c>
      <c r="Q39" s="20">
        <f t="shared" si="32"/>
        <v>0</v>
      </c>
      <c r="R39" s="20" t="e">
        <f t="shared" si="32"/>
        <v>#VALUE!</v>
      </c>
    </row>
    <row r="40" spans="1:18" x14ac:dyDescent="0.4">
      <c r="B40" t="s">
        <v>104</v>
      </c>
      <c r="C40">
        <v>2045</v>
      </c>
      <c r="D40" s="23" t="e">
        <v>#VALUE!</v>
      </c>
      <c r="E40" s="23" t="e">
        <v>#VALUE!</v>
      </c>
      <c r="F40" s="23" t="e">
        <v>#VALUE!</v>
      </c>
      <c r="G40" s="23" t="e">
        <v>#VALUE!</v>
      </c>
      <c r="I40" s="23" t="e">
        <v>#VALUE!</v>
      </c>
      <c r="L40" s="22" t="s">
        <v>65</v>
      </c>
      <c r="M40" s="20" t="e">
        <f t="shared" ref="M40:R40" si="33">D37</f>
        <v>#VALUE!</v>
      </c>
      <c r="N40" s="20" t="e">
        <f t="shared" si="33"/>
        <v>#VALUE!</v>
      </c>
      <c r="O40" s="20" t="e">
        <f t="shared" si="33"/>
        <v>#VALUE!</v>
      </c>
      <c r="P40" s="20" t="e">
        <f t="shared" si="33"/>
        <v>#VALUE!</v>
      </c>
      <c r="Q40" s="20">
        <f t="shared" si="33"/>
        <v>0</v>
      </c>
      <c r="R40" s="20" t="e">
        <f t="shared" si="33"/>
        <v>#VALUE!</v>
      </c>
    </row>
    <row r="41" spans="1:18" x14ac:dyDescent="0.4">
      <c r="L41" s="22" t="s">
        <v>66</v>
      </c>
      <c r="M41" s="20" t="e">
        <f t="shared" ref="M41:R41" si="34">D47</f>
        <v>#VALUE!</v>
      </c>
      <c r="N41" s="20" t="e">
        <f t="shared" si="34"/>
        <v>#VALUE!</v>
      </c>
      <c r="O41" s="20" t="e">
        <f t="shared" si="34"/>
        <v>#VALUE!</v>
      </c>
      <c r="P41" s="20" t="e">
        <f t="shared" si="34"/>
        <v>#VALUE!</v>
      </c>
      <c r="Q41" s="20">
        <f t="shared" si="34"/>
        <v>0</v>
      </c>
      <c r="R41" s="20" t="e">
        <f t="shared" si="34"/>
        <v>#VALUE!</v>
      </c>
    </row>
    <row r="42" spans="1:18" x14ac:dyDescent="0.4">
      <c r="A42" t="s">
        <v>66</v>
      </c>
      <c r="B42" s="24" t="s">
        <v>96</v>
      </c>
      <c r="C42" s="24">
        <v>2005</v>
      </c>
      <c r="D42" s="26" t="e">
        <f>世帯主率!C8</f>
        <v>#DIV/0!</v>
      </c>
      <c r="E42" s="26" t="e">
        <f>世帯主率!D8</f>
        <v>#DIV/0!</v>
      </c>
      <c r="F42" s="26" t="e">
        <f>世帯主率!E8</f>
        <v>#DIV/0!</v>
      </c>
      <c r="G42" s="26" t="e">
        <f>世帯主率!F8</f>
        <v>#DIV/0!</v>
      </c>
      <c r="H42" s="26" t="e">
        <f>世帯主率!G8</f>
        <v>#DIV/0!</v>
      </c>
      <c r="I42" s="26" t="e">
        <f>世帯主率!B8</f>
        <v>#DIV/0!</v>
      </c>
      <c r="L42" s="22" t="s">
        <v>67</v>
      </c>
      <c r="M42" s="20" t="e">
        <f t="shared" ref="M42:R42" si="35">D57</f>
        <v>#VALUE!</v>
      </c>
      <c r="N42" s="20" t="e">
        <f t="shared" si="35"/>
        <v>#VALUE!</v>
      </c>
      <c r="O42" s="20" t="e">
        <f t="shared" si="35"/>
        <v>#VALUE!</v>
      </c>
      <c r="P42" s="20" t="e">
        <f t="shared" si="35"/>
        <v>#VALUE!</v>
      </c>
      <c r="Q42" s="20">
        <f t="shared" si="35"/>
        <v>0</v>
      </c>
      <c r="R42" s="20" t="e">
        <f t="shared" si="35"/>
        <v>#VALUE!</v>
      </c>
    </row>
    <row r="43" spans="1:18" x14ac:dyDescent="0.4">
      <c r="B43" s="24" t="s">
        <v>97</v>
      </c>
      <c r="C43" s="24">
        <v>2010</v>
      </c>
      <c r="D43" s="26" t="e">
        <f>世帯主率!C26</f>
        <v>#DIV/0!</v>
      </c>
      <c r="E43" s="26" t="e">
        <f>世帯主率!D26</f>
        <v>#DIV/0!</v>
      </c>
      <c r="F43" s="26" t="e">
        <f>世帯主率!E26</f>
        <v>#DIV/0!</v>
      </c>
      <c r="G43" s="26" t="e">
        <f>世帯主率!F26</f>
        <v>#DIV/0!</v>
      </c>
      <c r="H43" s="26" t="e">
        <f>世帯主率!G26</f>
        <v>#DIV/0!</v>
      </c>
      <c r="I43" s="26" t="e">
        <f>世帯主率!B26</f>
        <v>#DIV/0!</v>
      </c>
      <c r="L43" s="22" t="s">
        <v>68</v>
      </c>
      <c r="M43" s="20" t="e">
        <f t="shared" ref="M43:R43" si="36">D67</f>
        <v>#VALUE!</v>
      </c>
      <c r="N43" s="20" t="e">
        <f t="shared" si="36"/>
        <v>#VALUE!</v>
      </c>
      <c r="O43" s="20" t="e">
        <f t="shared" si="36"/>
        <v>#VALUE!</v>
      </c>
      <c r="P43" s="20" t="e">
        <f t="shared" si="36"/>
        <v>#VALUE!</v>
      </c>
      <c r="Q43" s="20">
        <f t="shared" si="36"/>
        <v>0</v>
      </c>
      <c r="R43" s="20" t="e">
        <f t="shared" si="36"/>
        <v>#VALUE!</v>
      </c>
    </row>
    <row r="44" spans="1:18" ht="19.5" thickBot="1" x14ac:dyDescent="0.45">
      <c r="B44" s="25" t="s">
        <v>98</v>
      </c>
      <c r="C44" s="25">
        <v>2015</v>
      </c>
      <c r="D44" s="27" t="e">
        <f>世帯主率!C44</f>
        <v>#DIV/0!</v>
      </c>
      <c r="E44" s="27" t="e">
        <f>世帯主率!D44</f>
        <v>#DIV/0!</v>
      </c>
      <c r="F44" s="27" t="e">
        <f>世帯主率!E44</f>
        <v>#DIV/0!</v>
      </c>
      <c r="G44" s="27" t="e">
        <f>世帯主率!F44</f>
        <v>#DIV/0!</v>
      </c>
      <c r="H44" s="27" t="e">
        <f>世帯主率!G44</f>
        <v>#DIV/0!</v>
      </c>
      <c r="I44" s="27" t="e">
        <f>世帯主率!B44</f>
        <v>#DIV/0!</v>
      </c>
      <c r="L44" s="22" t="s">
        <v>69</v>
      </c>
      <c r="M44" s="20" t="e">
        <f t="shared" ref="M44:R44" si="37">D77</f>
        <v>#VALUE!</v>
      </c>
      <c r="N44" s="20" t="e">
        <f t="shared" si="37"/>
        <v>#VALUE!</v>
      </c>
      <c r="O44" s="20" t="e">
        <f t="shared" si="37"/>
        <v>#VALUE!</v>
      </c>
      <c r="P44" s="20" t="e">
        <f t="shared" si="37"/>
        <v>#VALUE!</v>
      </c>
      <c r="Q44" s="20">
        <f t="shared" si="37"/>
        <v>0</v>
      </c>
      <c r="R44" s="20" t="e">
        <f t="shared" si="37"/>
        <v>#VALUE!</v>
      </c>
    </row>
    <row r="45" spans="1:18" x14ac:dyDescent="0.4">
      <c r="B45" t="s">
        <v>99</v>
      </c>
      <c r="C45">
        <v>2020</v>
      </c>
      <c r="D45" s="23" t="e">
        <f t="array" ref="D45:D50">TREND(D42:D44,C42:C44,C45:C50,TRUE)</f>
        <v>#VALUE!</v>
      </c>
      <c r="E45" s="23" t="e">
        <f t="array" ref="E45:E50">TREND(E42:E44,C42:C44,C45:C50,TRUE)</f>
        <v>#VALUE!</v>
      </c>
      <c r="F45" s="23" t="e">
        <f t="array" ref="F45:F50">TREND(F42:F44,C42:C44,C45:C50,TRUE)</f>
        <v>#VALUE!</v>
      </c>
      <c r="G45" s="23" t="e">
        <f t="array" ref="G45:G50">TREND(G42:G44,C42:C44,C45:C50,TRUE)</f>
        <v>#VALUE!</v>
      </c>
      <c r="H45" s="23" t="e" cm="1">
        <f t="array" ref="H45">TREND(H42:H44,C42:C44,C45:C50,TRUE)</f>
        <v>#VALUE!</v>
      </c>
      <c r="I45" s="23" t="e">
        <f t="array" ref="I45:I50">TREND(I42:I44,C42:C44,C45:C50,TRUE)</f>
        <v>#VALUE!</v>
      </c>
      <c r="L45" s="22" t="s">
        <v>70</v>
      </c>
      <c r="M45" s="20" t="e">
        <f t="shared" ref="M45:R45" si="38">D87</f>
        <v>#VALUE!</v>
      </c>
      <c r="N45" s="20" t="e">
        <f t="shared" si="38"/>
        <v>#VALUE!</v>
      </c>
      <c r="O45" s="20" t="e">
        <f t="shared" si="38"/>
        <v>#VALUE!</v>
      </c>
      <c r="P45" s="20" t="e">
        <f t="shared" si="38"/>
        <v>#VALUE!</v>
      </c>
      <c r="Q45" s="20">
        <f t="shared" si="38"/>
        <v>0</v>
      </c>
      <c r="R45" s="20" t="e">
        <f t="shared" si="38"/>
        <v>#VALUE!</v>
      </c>
    </row>
    <row r="46" spans="1:18" x14ac:dyDescent="0.4">
      <c r="B46" t="s">
        <v>100</v>
      </c>
      <c r="C46">
        <v>2025</v>
      </c>
      <c r="D46" s="23" t="e">
        <v>#VALUE!</v>
      </c>
      <c r="E46" s="23" t="e">
        <v>#VALUE!</v>
      </c>
      <c r="F46" s="23" t="e">
        <v>#VALUE!</v>
      </c>
      <c r="G46" s="23" t="e">
        <v>#VALUE!</v>
      </c>
      <c r="I46" s="23" t="e">
        <v>#VALUE!</v>
      </c>
      <c r="L46" s="22" t="s">
        <v>71</v>
      </c>
      <c r="M46" s="20" t="e">
        <f t="shared" ref="M46:R46" si="39">D97</f>
        <v>#VALUE!</v>
      </c>
      <c r="N46" s="20" t="e">
        <f t="shared" si="39"/>
        <v>#VALUE!</v>
      </c>
      <c r="O46" s="20" t="e">
        <f t="shared" si="39"/>
        <v>#VALUE!</v>
      </c>
      <c r="P46" s="20" t="e">
        <f t="shared" si="39"/>
        <v>#VALUE!</v>
      </c>
      <c r="Q46" s="20">
        <f t="shared" si="39"/>
        <v>0</v>
      </c>
      <c r="R46" s="20" t="e">
        <f t="shared" si="39"/>
        <v>#VALUE!</v>
      </c>
    </row>
    <row r="47" spans="1:18" x14ac:dyDescent="0.4">
      <c r="B47" t="s">
        <v>101</v>
      </c>
      <c r="C47">
        <v>2030</v>
      </c>
      <c r="D47" s="23" t="e">
        <v>#VALUE!</v>
      </c>
      <c r="E47" s="23" t="e">
        <v>#VALUE!</v>
      </c>
      <c r="F47" s="23" t="e">
        <v>#VALUE!</v>
      </c>
      <c r="G47" s="23" t="e">
        <v>#VALUE!</v>
      </c>
      <c r="I47" s="23" t="e">
        <v>#VALUE!</v>
      </c>
      <c r="L47" s="22" t="s">
        <v>72</v>
      </c>
      <c r="M47" s="20" t="e">
        <f t="shared" ref="M47:R47" si="40">D107</f>
        <v>#VALUE!</v>
      </c>
      <c r="N47" s="20" t="e">
        <f t="shared" si="40"/>
        <v>#VALUE!</v>
      </c>
      <c r="O47" s="20" t="e">
        <f t="shared" si="40"/>
        <v>#VALUE!</v>
      </c>
      <c r="P47" s="20" t="e">
        <f t="shared" si="40"/>
        <v>#VALUE!</v>
      </c>
      <c r="Q47" s="20">
        <f t="shared" si="40"/>
        <v>0</v>
      </c>
      <c r="R47" s="20" t="e">
        <f t="shared" si="40"/>
        <v>#VALUE!</v>
      </c>
    </row>
    <row r="48" spans="1:18" x14ac:dyDescent="0.4">
      <c r="B48" t="s">
        <v>102</v>
      </c>
      <c r="C48">
        <v>2035</v>
      </c>
      <c r="D48" s="23" t="e">
        <v>#VALUE!</v>
      </c>
      <c r="E48" s="23" t="e">
        <v>#VALUE!</v>
      </c>
      <c r="F48" s="23" t="e">
        <v>#VALUE!</v>
      </c>
      <c r="G48" s="23" t="e">
        <v>#VALUE!</v>
      </c>
      <c r="I48" s="23" t="e">
        <v>#VALUE!</v>
      </c>
      <c r="L48" s="22" t="s">
        <v>73</v>
      </c>
      <c r="M48" s="20" t="e">
        <f t="shared" ref="M48:R48" si="41">D117</f>
        <v>#VALUE!</v>
      </c>
      <c r="N48" s="20" t="e">
        <f t="shared" si="41"/>
        <v>#VALUE!</v>
      </c>
      <c r="O48" s="20" t="e">
        <f t="shared" si="41"/>
        <v>#VALUE!</v>
      </c>
      <c r="P48" s="20" t="e">
        <f t="shared" si="41"/>
        <v>#VALUE!</v>
      </c>
      <c r="Q48" s="20">
        <f t="shared" si="41"/>
        <v>0</v>
      </c>
      <c r="R48" s="20" t="e">
        <f t="shared" si="41"/>
        <v>#VALUE!</v>
      </c>
    </row>
    <row r="49" spans="1:18" x14ac:dyDescent="0.4">
      <c r="B49" t="s">
        <v>103</v>
      </c>
      <c r="C49">
        <v>2040</v>
      </c>
      <c r="D49" s="23" t="e">
        <v>#VALUE!</v>
      </c>
      <c r="E49" s="23" t="e">
        <v>#VALUE!</v>
      </c>
      <c r="F49" s="23" t="e">
        <v>#VALUE!</v>
      </c>
      <c r="G49" s="23" t="e">
        <v>#VALUE!</v>
      </c>
      <c r="I49" s="23" t="e">
        <v>#VALUE!</v>
      </c>
      <c r="L49" s="22" t="s">
        <v>74</v>
      </c>
      <c r="M49" s="20" t="e">
        <f t="shared" ref="M49:R49" si="42">D127</f>
        <v>#VALUE!</v>
      </c>
      <c r="N49" s="20" t="e">
        <f t="shared" si="42"/>
        <v>#VALUE!</v>
      </c>
      <c r="O49" s="20" t="e">
        <f t="shared" si="42"/>
        <v>#VALUE!</v>
      </c>
      <c r="P49" s="20" t="e">
        <f t="shared" si="42"/>
        <v>#VALUE!</v>
      </c>
      <c r="Q49" s="20">
        <f t="shared" si="42"/>
        <v>0</v>
      </c>
      <c r="R49" s="20" t="e">
        <f t="shared" si="42"/>
        <v>#VALUE!</v>
      </c>
    </row>
    <row r="50" spans="1:18" x14ac:dyDescent="0.4">
      <c r="B50" t="s">
        <v>104</v>
      </c>
      <c r="C50">
        <v>2045</v>
      </c>
      <c r="D50" s="23" t="e">
        <v>#VALUE!</v>
      </c>
      <c r="E50" s="23" t="e">
        <v>#VALUE!</v>
      </c>
      <c r="F50" s="23" t="e">
        <v>#VALUE!</v>
      </c>
      <c r="G50" s="23" t="e">
        <v>#VALUE!</v>
      </c>
      <c r="I50" s="23" t="e">
        <v>#VALUE!</v>
      </c>
      <c r="L50" s="22" t="s">
        <v>75</v>
      </c>
      <c r="M50" s="20" t="e">
        <f t="shared" ref="M50:R50" si="43">D137</f>
        <v>#VALUE!</v>
      </c>
      <c r="N50" s="20" t="e">
        <f t="shared" si="43"/>
        <v>#VALUE!</v>
      </c>
      <c r="O50" s="20" t="e">
        <f t="shared" si="43"/>
        <v>#VALUE!</v>
      </c>
      <c r="P50" s="20" t="e">
        <f t="shared" si="43"/>
        <v>#VALUE!</v>
      </c>
      <c r="Q50" s="20">
        <f t="shared" si="43"/>
        <v>0</v>
      </c>
      <c r="R50" s="20" t="e">
        <f t="shared" si="43"/>
        <v>#VALUE!</v>
      </c>
    </row>
    <row r="51" spans="1:18" x14ac:dyDescent="0.4">
      <c r="L51" s="22" t="s">
        <v>76</v>
      </c>
      <c r="M51" s="20" t="e">
        <f t="shared" ref="M51:R51" si="44">D147</f>
        <v>#VALUE!</v>
      </c>
      <c r="N51" s="20" t="e">
        <f t="shared" si="44"/>
        <v>#VALUE!</v>
      </c>
      <c r="O51" s="20" t="e">
        <f t="shared" si="44"/>
        <v>#VALUE!</v>
      </c>
      <c r="P51" s="20" t="e">
        <f t="shared" si="44"/>
        <v>#VALUE!</v>
      </c>
      <c r="Q51" s="20">
        <f t="shared" si="44"/>
        <v>0</v>
      </c>
      <c r="R51" s="20" t="e">
        <f t="shared" si="44"/>
        <v>#VALUE!</v>
      </c>
    </row>
    <row r="52" spans="1:18" x14ac:dyDescent="0.4">
      <c r="A52" t="s">
        <v>67</v>
      </c>
      <c r="B52" s="24" t="s">
        <v>96</v>
      </c>
      <c r="C52" s="24">
        <v>2005</v>
      </c>
      <c r="D52" s="26" t="e">
        <f>世帯主率!C9</f>
        <v>#DIV/0!</v>
      </c>
      <c r="E52" s="26" t="e">
        <f>世帯主率!D9</f>
        <v>#DIV/0!</v>
      </c>
      <c r="F52" s="26" t="e">
        <f>世帯主率!E9</f>
        <v>#DIV/0!</v>
      </c>
      <c r="G52" s="26" t="e">
        <f>世帯主率!F9</f>
        <v>#DIV/0!</v>
      </c>
      <c r="H52" s="26" t="e">
        <f>世帯主率!G9</f>
        <v>#DIV/0!</v>
      </c>
      <c r="I52" s="26" t="e">
        <f>世帯主率!B9</f>
        <v>#DIV/0!</v>
      </c>
    </row>
    <row r="53" spans="1:18" x14ac:dyDescent="0.4">
      <c r="B53" s="24" t="s">
        <v>97</v>
      </c>
      <c r="C53" s="24">
        <v>2010</v>
      </c>
      <c r="D53" s="26" t="e">
        <f>世帯主率!C27</f>
        <v>#DIV/0!</v>
      </c>
      <c r="E53" s="26" t="e">
        <f>世帯主率!D27</f>
        <v>#DIV/0!</v>
      </c>
      <c r="F53" s="26" t="e">
        <f>世帯主率!E27</f>
        <v>#DIV/0!</v>
      </c>
      <c r="G53" s="26" t="e">
        <f>世帯主率!F27</f>
        <v>#DIV/0!</v>
      </c>
      <c r="H53" s="26" t="e">
        <f>世帯主率!G27</f>
        <v>#DIV/0!</v>
      </c>
      <c r="I53" s="26" t="e">
        <f>世帯主率!B27</f>
        <v>#DIV/0!</v>
      </c>
      <c r="K53" s="28" t="s">
        <v>116</v>
      </c>
      <c r="L53" s="22" t="s">
        <v>61</v>
      </c>
    </row>
    <row r="54" spans="1:18" ht="19.5" thickBot="1" x14ac:dyDescent="0.45">
      <c r="B54" s="25" t="s">
        <v>98</v>
      </c>
      <c r="C54" s="25">
        <v>2015</v>
      </c>
      <c r="D54" s="27" t="e">
        <f>世帯主率!C45</f>
        <v>#DIV/0!</v>
      </c>
      <c r="E54" s="27" t="e">
        <f>世帯主率!D45</f>
        <v>#DIV/0!</v>
      </c>
      <c r="F54" s="27" t="e">
        <f>世帯主率!E45</f>
        <v>#DIV/0!</v>
      </c>
      <c r="G54" s="27" t="e">
        <f>世帯主率!F45</f>
        <v>#DIV/0!</v>
      </c>
      <c r="H54" s="27" t="e">
        <f>世帯主率!G45</f>
        <v>#DIV/0!</v>
      </c>
      <c r="I54" s="27" t="e">
        <f>世帯主率!B45</f>
        <v>#DIV/0!</v>
      </c>
      <c r="L54" s="22" t="s">
        <v>62</v>
      </c>
      <c r="M54" s="20" t="e">
        <f t="shared" ref="M54:R54" si="45">D8</f>
        <v>#VALUE!</v>
      </c>
      <c r="N54" s="20" t="e">
        <f t="shared" si="45"/>
        <v>#VALUE!</v>
      </c>
      <c r="O54" s="20" t="e">
        <f t="shared" si="45"/>
        <v>#VALUE!</v>
      </c>
      <c r="P54" s="20" t="e">
        <f t="shared" si="45"/>
        <v>#VALUE!</v>
      </c>
      <c r="Q54" s="20">
        <f t="shared" si="45"/>
        <v>0</v>
      </c>
      <c r="R54" s="20" t="e">
        <f t="shared" si="45"/>
        <v>#VALUE!</v>
      </c>
    </row>
    <row r="55" spans="1:18" x14ac:dyDescent="0.4">
      <c r="B55" t="s">
        <v>99</v>
      </c>
      <c r="C55">
        <v>2020</v>
      </c>
      <c r="D55" s="23" t="e">
        <f t="array" ref="D55:D60">TREND(D52:D54,C52:C54,C55:C60,TRUE)</f>
        <v>#VALUE!</v>
      </c>
      <c r="E55" s="23" t="e">
        <f t="array" ref="E55:E60">TREND(E52:E54,C52:C54,C55:C60,TRUE)</f>
        <v>#VALUE!</v>
      </c>
      <c r="F55" s="23" t="e">
        <f t="array" ref="F55:F60">TREND(F52:F54,C52:C54,C55:C60,TRUE)</f>
        <v>#VALUE!</v>
      </c>
      <c r="G55" s="23" t="e">
        <f t="array" ref="G55:G60">TREND(G52:G54,C52:C54,C55:C60,TRUE)</f>
        <v>#VALUE!</v>
      </c>
      <c r="H55" s="23" t="e" cm="1">
        <f t="array" ref="H55">TREND(H52:H54,C52:C54,C55:C60,TRUE)</f>
        <v>#VALUE!</v>
      </c>
      <c r="I55" s="23" t="e">
        <f t="array" ref="I55:I60">TREND(I52:I54,C52:C54,C55:C60,TRUE)</f>
        <v>#VALUE!</v>
      </c>
      <c r="L55" s="22" t="s">
        <v>63</v>
      </c>
      <c r="M55" s="20" t="e">
        <f t="shared" ref="M55:R55" si="46">D18</f>
        <v>#VALUE!</v>
      </c>
      <c r="N55" s="20" t="e">
        <f t="shared" si="46"/>
        <v>#VALUE!</v>
      </c>
      <c r="O55" s="20" t="e">
        <f t="shared" si="46"/>
        <v>#VALUE!</v>
      </c>
      <c r="P55" s="20" t="e">
        <f t="shared" si="46"/>
        <v>#VALUE!</v>
      </c>
      <c r="Q55" s="20">
        <f t="shared" si="46"/>
        <v>0</v>
      </c>
      <c r="R55" s="20" t="e">
        <f t="shared" si="46"/>
        <v>#VALUE!</v>
      </c>
    </row>
    <row r="56" spans="1:18" x14ac:dyDescent="0.4">
      <c r="B56" t="s">
        <v>100</v>
      </c>
      <c r="C56">
        <v>2025</v>
      </c>
      <c r="D56" s="23" t="e">
        <v>#VALUE!</v>
      </c>
      <c r="E56" s="23" t="e">
        <v>#VALUE!</v>
      </c>
      <c r="F56" s="23" t="e">
        <v>#VALUE!</v>
      </c>
      <c r="G56" s="23" t="e">
        <v>#VALUE!</v>
      </c>
      <c r="I56" s="23" t="e">
        <v>#VALUE!</v>
      </c>
      <c r="L56" s="22" t="s">
        <v>64</v>
      </c>
      <c r="M56" s="20" t="e">
        <f t="shared" ref="M56:R56" si="47">D28</f>
        <v>#VALUE!</v>
      </c>
      <c r="N56" s="20" t="e">
        <f t="shared" si="47"/>
        <v>#VALUE!</v>
      </c>
      <c r="O56" s="20" t="e">
        <f t="shared" si="47"/>
        <v>#VALUE!</v>
      </c>
      <c r="P56" s="20" t="e">
        <f t="shared" si="47"/>
        <v>#VALUE!</v>
      </c>
      <c r="Q56" s="20">
        <f t="shared" si="47"/>
        <v>0</v>
      </c>
      <c r="R56" s="20" t="e">
        <f t="shared" si="47"/>
        <v>#VALUE!</v>
      </c>
    </row>
    <row r="57" spans="1:18" x14ac:dyDescent="0.4">
      <c r="B57" t="s">
        <v>101</v>
      </c>
      <c r="C57">
        <v>2030</v>
      </c>
      <c r="D57" s="23" t="e">
        <v>#VALUE!</v>
      </c>
      <c r="E57" s="23" t="e">
        <v>#VALUE!</v>
      </c>
      <c r="F57" s="23" t="e">
        <v>#VALUE!</v>
      </c>
      <c r="G57" s="23" t="e">
        <v>#VALUE!</v>
      </c>
      <c r="I57" s="23" t="e">
        <v>#VALUE!</v>
      </c>
      <c r="L57" s="22" t="s">
        <v>65</v>
      </c>
      <c r="M57" s="20" t="e">
        <f t="shared" ref="M57:R57" si="48">D38</f>
        <v>#VALUE!</v>
      </c>
      <c r="N57" s="20" t="e">
        <f t="shared" si="48"/>
        <v>#VALUE!</v>
      </c>
      <c r="O57" s="20" t="e">
        <f t="shared" si="48"/>
        <v>#VALUE!</v>
      </c>
      <c r="P57" s="20" t="e">
        <f t="shared" si="48"/>
        <v>#VALUE!</v>
      </c>
      <c r="Q57" s="20">
        <f t="shared" si="48"/>
        <v>0</v>
      </c>
      <c r="R57" s="20" t="e">
        <f t="shared" si="48"/>
        <v>#VALUE!</v>
      </c>
    </row>
    <row r="58" spans="1:18" x14ac:dyDescent="0.4">
      <c r="B58" t="s">
        <v>102</v>
      </c>
      <c r="C58">
        <v>2035</v>
      </c>
      <c r="D58" s="23" t="e">
        <v>#VALUE!</v>
      </c>
      <c r="E58" s="23" t="e">
        <v>#VALUE!</v>
      </c>
      <c r="F58" s="23" t="e">
        <v>#VALUE!</v>
      </c>
      <c r="G58" s="23" t="e">
        <v>#VALUE!</v>
      </c>
      <c r="I58" s="23" t="e">
        <v>#VALUE!</v>
      </c>
      <c r="L58" s="22" t="s">
        <v>66</v>
      </c>
      <c r="M58" s="20" t="e">
        <f t="shared" ref="M58:R58" si="49">D48</f>
        <v>#VALUE!</v>
      </c>
      <c r="N58" s="20" t="e">
        <f t="shared" si="49"/>
        <v>#VALUE!</v>
      </c>
      <c r="O58" s="20" t="e">
        <f t="shared" si="49"/>
        <v>#VALUE!</v>
      </c>
      <c r="P58" s="20" t="e">
        <f t="shared" si="49"/>
        <v>#VALUE!</v>
      </c>
      <c r="Q58" s="20">
        <f t="shared" si="49"/>
        <v>0</v>
      </c>
      <c r="R58" s="20" t="e">
        <f t="shared" si="49"/>
        <v>#VALUE!</v>
      </c>
    </row>
    <row r="59" spans="1:18" x14ac:dyDescent="0.4">
      <c r="B59" t="s">
        <v>103</v>
      </c>
      <c r="C59">
        <v>2040</v>
      </c>
      <c r="D59" s="23" t="e">
        <v>#VALUE!</v>
      </c>
      <c r="E59" s="23" t="e">
        <v>#VALUE!</v>
      </c>
      <c r="F59" s="23" t="e">
        <v>#VALUE!</v>
      </c>
      <c r="G59" s="23" t="e">
        <v>#VALUE!</v>
      </c>
      <c r="I59" s="23" t="e">
        <v>#VALUE!</v>
      </c>
      <c r="L59" s="22" t="s">
        <v>67</v>
      </c>
      <c r="M59" s="20" t="e">
        <f t="shared" ref="M59:R59" si="50">D58</f>
        <v>#VALUE!</v>
      </c>
      <c r="N59" s="20" t="e">
        <f t="shared" si="50"/>
        <v>#VALUE!</v>
      </c>
      <c r="O59" s="20" t="e">
        <f t="shared" si="50"/>
        <v>#VALUE!</v>
      </c>
      <c r="P59" s="20" t="e">
        <f t="shared" si="50"/>
        <v>#VALUE!</v>
      </c>
      <c r="Q59" s="20">
        <f t="shared" si="50"/>
        <v>0</v>
      </c>
      <c r="R59" s="20" t="e">
        <f t="shared" si="50"/>
        <v>#VALUE!</v>
      </c>
    </row>
    <row r="60" spans="1:18" x14ac:dyDescent="0.4">
      <c r="B60" t="s">
        <v>104</v>
      </c>
      <c r="C60">
        <v>2045</v>
      </c>
      <c r="D60" s="23" t="e">
        <v>#VALUE!</v>
      </c>
      <c r="E60" s="23" t="e">
        <v>#VALUE!</v>
      </c>
      <c r="F60" s="23" t="e">
        <v>#VALUE!</v>
      </c>
      <c r="G60" s="23" t="e">
        <v>#VALUE!</v>
      </c>
      <c r="I60" s="23" t="e">
        <v>#VALUE!</v>
      </c>
      <c r="L60" s="22" t="s">
        <v>68</v>
      </c>
      <c r="M60" s="20" t="e">
        <f t="shared" ref="M60:R60" si="51">D68</f>
        <v>#VALUE!</v>
      </c>
      <c r="N60" s="20" t="e">
        <f t="shared" si="51"/>
        <v>#VALUE!</v>
      </c>
      <c r="O60" s="20" t="e">
        <f t="shared" si="51"/>
        <v>#VALUE!</v>
      </c>
      <c r="P60" s="20" t="e">
        <f t="shared" si="51"/>
        <v>#VALUE!</v>
      </c>
      <c r="Q60" s="20">
        <f t="shared" si="51"/>
        <v>0</v>
      </c>
      <c r="R60" s="20" t="e">
        <f t="shared" si="51"/>
        <v>#VALUE!</v>
      </c>
    </row>
    <row r="61" spans="1:18" x14ac:dyDescent="0.4">
      <c r="L61" s="22" t="s">
        <v>69</v>
      </c>
      <c r="M61" s="20" t="e">
        <f t="shared" ref="M61:R61" si="52">D78</f>
        <v>#VALUE!</v>
      </c>
      <c r="N61" s="20" t="e">
        <f t="shared" si="52"/>
        <v>#VALUE!</v>
      </c>
      <c r="O61" s="20" t="e">
        <f t="shared" si="52"/>
        <v>#VALUE!</v>
      </c>
      <c r="P61" s="20" t="e">
        <f t="shared" si="52"/>
        <v>#VALUE!</v>
      </c>
      <c r="Q61" s="20">
        <f t="shared" si="52"/>
        <v>0</v>
      </c>
      <c r="R61" s="20" t="e">
        <f t="shared" si="52"/>
        <v>#VALUE!</v>
      </c>
    </row>
    <row r="62" spans="1:18" x14ac:dyDescent="0.4">
      <c r="A62" t="s">
        <v>68</v>
      </c>
      <c r="B62" s="24" t="s">
        <v>96</v>
      </c>
      <c r="C62" s="24">
        <v>2005</v>
      </c>
      <c r="D62" s="26" t="e">
        <f>世帯主率!C10</f>
        <v>#DIV/0!</v>
      </c>
      <c r="E62" s="26" t="e">
        <f>世帯主率!D10</f>
        <v>#DIV/0!</v>
      </c>
      <c r="F62" s="26" t="e">
        <f>世帯主率!E10</f>
        <v>#DIV/0!</v>
      </c>
      <c r="G62" s="26" t="e">
        <f>世帯主率!F10</f>
        <v>#DIV/0!</v>
      </c>
      <c r="H62" s="26" t="e">
        <f>世帯主率!G10</f>
        <v>#DIV/0!</v>
      </c>
      <c r="I62" s="26" t="e">
        <f>世帯主率!B10</f>
        <v>#DIV/0!</v>
      </c>
      <c r="L62" s="22" t="s">
        <v>70</v>
      </c>
      <c r="M62" s="20" t="e">
        <f t="shared" ref="M62:R62" si="53">D88</f>
        <v>#VALUE!</v>
      </c>
      <c r="N62" s="20" t="e">
        <f t="shared" si="53"/>
        <v>#VALUE!</v>
      </c>
      <c r="O62" s="20" t="e">
        <f t="shared" si="53"/>
        <v>#VALUE!</v>
      </c>
      <c r="P62" s="20" t="e">
        <f t="shared" si="53"/>
        <v>#VALUE!</v>
      </c>
      <c r="Q62" s="20">
        <f t="shared" si="53"/>
        <v>0</v>
      </c>
      <c r="R62" s="20" t="e">
        <f t="shared" si="53"/>
        <v>#VALUE!</v>
      </c>
    </row>
    <row r="63" spans="1:18" x14ac:dyDescent="0.4">
      <c r="B63" s="24" t="s">
        <v>97</v>
      </c>
      <c r="C63" s="24">
        <v>2010</v>
      </c>
      <c r="D63" s="26" t="e">
        <f>世帯主率!C28</f>
        <v>#DIV/0!</v>
      </c>
      <c r="E63" s="26" t="e">
        <f>世帯主率!D28</f>
        <v>#DIV/0!</v>
      </c>
      <c r="F63" s="26" t="e">
        <f>世帯主率!E28</f>
        <v>#DIV/0!</v>
      </c>
      <c r="G63" s="26" t="e">
        <f>世帯主率!F28</f>
        <v>#DIV/0!</v>
      </c>
      <c r="H63" s="26" t="e">
        <f>世帯主率!G28</f>
        <v>#DIV/0!</v>
      </c>
      <c r="I63" s="26" t="e">
        <f>世帯主率!B28</f>
        <v>#DIV/0!</v>
      </c>
      <c r="L63" s="22" t="s">
        <v>71</v>
      </c>
      <c r="M63" s="20" t="e">
        <f t="shared" ref="M63:R63" si="54">D98</f>
        <v>#VALUE!</v>
      </c>
      <c r="N63" s="20" t="e">
        <f t="shared" si="54"/>
        <v>#VALUE!</v>
      </c>
      <c r="O63" s="20" t="e">
        <f t="shared" si="54"/>
        <v>#VALUE!</v>
      </c>
      <c r="P63" s="20" t="e">
        <f t="shared" si="54"/>
        <v>#VALUE!</v>
      </c>
      <c r="Q63" s="20">
        <f t="shared" si="54"/>
        <v>0</v>
      </c>
      <c r="R63" s="20" t="e">
        <f t="shared" si="54"/>
        <v>#VALUE!</v>
      </c>
    </row>
    <row r="64" spans="1:18" ht="19.5" thickBot="1" x14ac:dyDescent="0.45">
      <c r="B64" s="25" t="s">
        <v>98</v>
      </c>
      <c r="C64" s="25">
        <v>2015</v>
      </c>
      <c r="D64" s="27" t="e">
        <f>世帯主率!C46</f>
        <v>#DIV/0!</v>
      </c>
      <c r="E64" s="27" t="e">
        <f>世帯主率!D46</f>
        <v>#DIV/0!</v>
      </c>
      <c r="F64" s="27" t="e">
        <f>世帯主率!E46</f>
        <v>#DIV/0!</v>
      </c>
      <c r="G64" s="27" t="e">
        <f>世帯主率!F46</f>
        <v>#DIV/0!</v>
      </c>
      <c r="H64" s="27" t="e">
        <f>世帯主率!G46</f>
        <v>#DIV/0!</v>
      </c>
      <c r="I64" s="27" t="e">
        <f>世帯主率!B46</f>
        <v>#DIV/0!</v>
      </c>
      <c r="L64" s="22" t="s">
        <v>72</v>
      </c>
      <c r="M64" s="20" t="e">
        <f t="shared" ref="M64:R64" si="55">D108</f>
        <v>#VALUE!</v>
      </c>
      <c r="N64" s="20" t="e">
        <f t="shared" si="55"/>
        <v>#VALUE!</v>
      </c>
      <c r="O64" s="20" t="e">
        <f t="shared" si="55"/>
        <v>#VALUE!</v>
      </c>
      <c r="P64" s="20" t="e">
        <f t="shared" si="55"/>
        <v>#VALUE!</v>
      </c>
      <c r="Q64" s="20">
        <f t="shared" si="55"/>
        <v>0</v>
      </c>
      <c r="R64" s="20" t="e">
        <f t="shared" si="55"/>
        <v>#VALUE!</v>
      </c>
    </row>
    <row r="65" spans="1:18" x14ac:dyDescent="0.4">
      <c r="B65" t="s">
        <v>99</v>
      </c>
      <c r="C65">
        <v>2020</v>
      </c>
      <c r="D65" s="23" t="e">
        <f t="array" ref="D65:D70">TREND(D62:D64,C62:C64,C65:C70,TRUE)</f>
        <v>#VALUE!</v>
      </c>
      <c r="E65" s="23" t="e">
        <f t="array" ref="E65:E70">TREND(E62:E64,C62:C64,C65:C70,TRUE)</f>
        <v>#VALUE!</v>
      </c>
      <c r="F65" s="23" t="e">
        <f t="array" ref="F65:F70">TREND(F62:F64,C62:C64,C65:C70,TRUE)</f>
        <v>#VALUE!</v>
      </c>
      <c r="G65" s="23" t="e">
        <f t="array" ref="G65:G70">TREND(G62:G64,C62:C64,C65:C70,TRUE)</f>
        <v>#VALUE!</v>
      </c>
      <c r="H65" s="23" t="e" cm="1">
        <f t="array" ref="H65">TREND(H62:H64,C62:C64,C65:C70,TRUE)</f>
        <v>#VALUE!</v>
      </c>
      <c r="I65" s="23" t="e">
        <f t="array" ref="I65:I70">TREND(I62:I64,C62:C64,C65:C70,TRUE)</f>
        <v>#VALUE!</v>
      </c>
      <c r="L65" s="22" t="s">
        <v>73</v>
      </c>
      <c r="M65" s="20" t="e">
        <f t="shared" ref="M65:R65" si="56">D118</f>
        <v>#VALUE!</v>
      </c>
      <c r="N65" s="20" t="e">
        <f t="shared" si="56"/>
        <v>#VALUE!</v>
      </c>
      <c r="O65" s="20" t="e">
        <f t="shared" si="56"/>
        <v>#VALUE!</v>
      </c>
      <c r="P65" s="20" t="e">
        <f t="shared" si="56"/>
        <v>#VALUE!</v>
      </c>
      <c r="Q65" s="20">
        <f t="shared" si="56"/>
        <v>0</v>
      </c>
      <c r="R65" s="20" t="e">
        <f t="shared" si="56"/>
        <v>#VALUE!</v>
      </c>
    </row>
    <row r="66" spans="1:18" x14ac:dyDescent="0.4">
      <c r="B66" t="s">
        <v>100</v>
      </c>
      <c r="C66">
        <v>2025</v>
      </c>
      <c r="D66" s="23" t="e">
        <v>#VALUE!</v>
      </c>
      <c r="E66" s="23" t="e">
        <v>#VALUE!</v>
      </c>
      <c r="F66" s="23" t="e">
        <v>#VALUE!</v>
      </c>
      <c r="G66" s="23" t="e">
        <v>#VALUE!</v>
      </c>
      <c r="I66" s="23" t="e">
        <v>#VALUE!</v>
      </c>
      <c r="L66" s="22" t="s">
        <v>74</v>
      </c>
      <c r="M66" s="20" t="e">
        <f t="shared" ref="M66:R66" si="57">D128</f>
        <v>#VALUE!</v>
      </c>
      <c r="N66" s="20" t="e">
        <f t="shared" si="57"/>
        <v>#VALUE!</v>
      </c>
      <c r="O66" s="20" t="e">
        <f t="shared" si="57"/>
        <v>#VALUE!</v>
      </c>
      <c r="P66" s="20" t="e">
        <f t="shared" si="57"/>
        <v>#VALUE!</v>
      </c>
      <c r="Q66" s="20">
        <f t="shared" si="57"/>
        <v>0</v>
      </c>
      <c r="R66" s="20" t="e">
        <f t="shared" si="57"/>
        <v>#VALUE!</v>
      </c>
    </row>
    <row r="67" spans="1:18" x14ac:dyDescent="0.4">
      <c r="B67" t="s">
        <v>101</v>
      </c>
      <c r="C67">
        <v>2030</v>
      </c>
      <c r="D67" s="23" t="e">
        <v>#VALUE!</v>
      </c>
      <c r="E67" s="23" t="e">
        <v>#VALUE!</v>
      </c>
      <c r="F67" s="23" t="e">
        <v>#VALUE!</v>
      </c>
      <c r="G67" s="23" t="e">
        <v>#VALUE!</v>
      </c>
      <c r="I67" s="23" t="e">
        <v>#VALUE!</v>
      </c>
      <c r="L67" s="22" t="s">
        <v>75</v>
      </c>
      <c r="M67" s="20" t="e">
        <f t="shared" ref="M67:R67" si="58">D138</f>
        <v>#VALUE!</v>
      </c>
      <c r="N67" s="20" t="e">
        <f t="shared" si="58"/>
        <v>#VALUE!</v>
      </c>
      <c r="O67" s="20" t="e">
        <f t="shared" si="58"/>
        <v>#VALUE!</v>
      </c>
      <c r="P67" s="20" t="e">
        <f t="shared" si="58"/>
        <v>#VALUE!</v>
      </c>
      <c r="Q67" s="20">
        <f t="shared" si="58"/>
        <v>0</v>
      </c>
      <c r="R67" s="20" t="e">
        <f t="shared" si="58"/>
        <v>#VALUE!</v>
      </c>
    </row>
    <row r="68" spans="1:18" x14ac:dyDescent="0.4">
      <c r="B68" t="s">
        <v>102</v>
      </c>
      <c r="C68">
        <v>2035</v>
      </c>
      <c r="D68" s="23" t="e">
        <v>#VALUE!</v>
      </c>
      <c r="E68" s="23" t="e">
        <v>#VALUE!</v>
      </c>
      <c r="F68" s="23" t="e">
        <v>#VALUE!</v>
      </c>
      <c r="G68" s="23" t="e">
        <v>#VALUE!</v>
      </c>
      <c r="I68" s="23" t="e">
        <v>#VALUE!</v>
      </c>
      <c r="L68" s="22" t="s">
        <v>76</v>
      </c>
      <c r="M68" s="20" t="e">
        <f t="shared" ref="M68:R68" si="59">D148</f>
        <v>#VALUE!</v>
      </c>
      <c r="N68" s="20" t="e">
        <f t="shared" si="59"/>
        <v>#VALUE!</v>
      </c>
      <c r="O68" s="20" t="e">
        <f t="shared" si="59"/>
        <v>#VALUE!</v>
      </c>
      <c r="P68" s="20" t="e">
        <f t="shared" si="59"/>
        <v>#VALUE!</v>
      </c>
      <c r="Q68" s="20">
        <f t="shared" si="59"/>
        <v>0</v>
      </c>
      <c r="R68" s="20" t="e">
        <f t="shared" si="59"/>
        <v>#VALUE!</v>
      </c>
    </row>
    <row r="69" spans="1:18" x14ac:dyDescent="0.4">
      <c r="B69" t="s">
        <v>103</v>
      </c>
      <c r="C69">
        <v>2040</v>
      </c>
      <c r="D69" s="23" t="e">
        <v>#VALUE!</v>
      </c>
      <c r="E69" s="23" t="e">
        <v>#VALUE!</v>
      </c>
      <c r="F69" s="23" t="e">
        <v>#VALUE!</v>
      </c>
      <c r="G69" s="23" t="e">
        <v>#VALUE!</v>
      </c>
      <c r="I69" s="23" t="e">
        <v>#VALUE!</v>
      </c>
    </row>
    <row r="70" spans="1:18" x14ac:dyDescent="0.4">
      <c r="B70" t="s">
        <v>104</v>
      </c>
      <c r="C70">
        <v>2045</v>
      </c>
      <c r="D70" s="23" t="e">
        <v>#VALUE!</v>
      </c>
      <c r="E70" s="23" t="e">
        <v>#VALUE!</v>
      </c>
      <c r="F70" s="23" t="e">
        <v>#VALUE!</v>
      </c>
      <c r="G70" s="23" t="e">
        <v>#VALUE!</v>
      </c>
      <c r="I70" s="23" t="e">
        <v>#VALUE!</v>
      </c>
      <c r="K70" s="28" t="s">
        <v>117</v>
      </c>
      <c r="L70" s="22" t="s">
        <v>61</v>
      </c>
    </row>
    <row r="71" spans="1:18" x14ac:dyDescent="0.4">
      <c r="L71" s="22" t="s">
        <v>62</v>
      </c>
      <c r="M71" s="20" t="e">
        <f t="shared" ref="M71:R71" si="60">D9</f>
        <v>#VALUE!</v>
      </c>
      <c r="N71" s="20" t="e">
        <f t="shared" si="60"/>
        <v>#VALUE!</v>
      </c>
      <c r="O71" s="20" t="e">
        <f t="shared" si="60"/>
        <v>#VALUE!</v>
      </c>
      <c r="P71" s="20" t="e">
        <f t="shared" si="60"/>
        <v>#VALUE!</v>
      </c>
      <c r="Q71" s="20">
        <f t="shared" si="60"/>
        <v>0</v>
      </c>
      <c r="R71" s="20" t="e">
        <f t="shared" si="60"/>
        <v>#VALUE!</v>
      </c>
    </row>
    <row r="72" spans="1:18" x14ac:dyDescent="0.4">
      <c r="A72" t="s">
        <v>69</v>
      </c>
      <c r="B72" s="24" t="s">
        <v>96</v>
      </c>
      <c r="C72" s="24">
        <v>2005</v>
      </c>
      <c r="D72" s="26" t="e">
        <f>世帯主率!C11</f>
        <v>#DIV/0!</v>
      </c>
      <c r="E72" s="26" t="e">
        <f>世帯主率!D11</f>
        <v>#DIV/0!</v>
      </c>
      <c r="F72" s="26" t="e">
        <f>世帯主率!E11</f>
        <v>#DIV/0!</v>
      </c>
      <c r="G72" s="26" t="e">
        <f>世帯主率!F11</f>
        <v>#DIV/0!</v>
      </c>
      <c r="H72" s="26" t="e">
        <f>世帯主率!G11</f>
        <v>#DIV/0!</v>
      </c>
      <c r="I72" s="26" t="e">
        <f>世帯主率!B11</f>
        <v>#DIV/0!</v>
      </c>
      <c r="L72" s="22" t="s">
        <v>63</v>
      </c>
      <c r="M72" s="20" t="e">
        <f t="shared" ref="M72:R72" si="61">D19</f>
        <v>#VALUE!</v>
      </c>
      <c r="N72" s="20" t="e">
        <f t="shared" si="61"/>
        <v>#VALUE!</v>
      </c>
      <c r="O72" s="20" t="e">
        <f t="shared" si="61"/>
        <v>#VALUE!</v>
      </c>
      <c r="P72" s="20" t="e">
        <f t="shared" si="61"/>
        <v>#VALUE!</v>
      </c>
      <c r="Q72" s="20">
        <f t="shared" si="61"/>
        <v>0</v>
      </c>
      <c r="R72" s="20" t="e">
        <f t="shared" si="61"/>
        <v>#VALUE!</v>
      </c>
    </row>
    <row r="73" spans="1:18" x14ac:dyDescent="0.4">
      <c r="B73" s="24" t="s">
        <v>97</v>
      </c>
      <c r="C73" s="24">
        <v>2010</v>
      </c>
      <c r="D73" s="26" t="e">
        <f>世帯主率!C29</f>
        <v>#DIV/0!</v>
      </c>
      <c r="E73" s="26" t="e">
        <f>世帯主率!D29</f>
        <v>#DIV/0!</v>
      </c>
      <c r="F73" s="26" t="e">
        <f>世帯主率!E29</f>
        <v>#DIV/0!</v>
      </c>
      <c r="G73" s="26" t="e">
        <f>世帯主率!F29</f>
        <v>#DIV/0!</v>
      </c>
      <c r="H73" s="26" t="e">
        <f>世帯主率!G29</f>
        <v>#DIV/0!</v>
      </c>
      <c r="I73" s="26" t="e">
        <f>世帯主率!B29</f>
        <v>#DIV/0!</v>
      </c>
      <c r="L73" s="22" t="s">
        <v>64</v>
      </c>
      <c r="M73" s="20" t="e">
        <f t="shared" ref="M73:R73" si="62">D29</f>
        <v>#VALUE!</v>
      </c>
      <c r="N73" s="20" t="e">
        <f t="shared" si="62"/>
        <v>#VALUE!</v>
      </c>
      <c r="O73" s="20" t="e">
        <f t="shared" si="62"/>
        <v>#VALUE!</v>
      </c>
      <c r="P73" s="20" t="e">
        <f t="shared" si="62"/>
        <v>#VALUE!</v>
      </c>
      <c r="Q73" s="20">
        <f t="shared" si="62"/>
        <v>0</v>
      </c>
      <c r="R73" s="20" t="e">
        <f t="shared" si="62"/>
        <v>#VALUE!</v>
      </c>
    </row>
    <row r="74" spans="1:18" ht="19.5" thickBot="1" x14ac:dyDescent="0.45">
      <c r="B74" s="25" t="s">
        <v>98</v>
      </c>
      <c r="C74" s="25">
        <v>2015</v>
      </c>
      <c r="D74" s="27" t="e">
        <f>世帯主率!C47</f>
        <v>#DIV/0!</v>
      </c>
      <c r="E74" s="27" t="e">
        <f>世帯主率!D47</f>
        <v>#DIV/0!</v>
      </c>
      <c r="F74" s="27" t="e">
        <f>世帯主率!E47</f>
        <v>#DIV/0!</v>
      </c>
      <c r="G74" s="27" t="e">
        <f>世帯主率!F47</f>
        <v>#DIV/0!</v>
      </c>
      <c r="H74" s="27" t="e">
        <f>世帯主率!G47</f>
        <v>#DIV/0!</v>
      </c>
      <c r="I74" s="27" t="e">
        <f>世帯主率!B47</f>
        <v>#DIV/0!</v>
      </c>
      <c r="L74" s="22" t="s">
        <v>65</v>
      </c>
      <c r="M74" s="20" t="e">
        <f t="shared" ref="M74:R74" si="63">D39</f>
        <v>#VALUE!</v>
      </c>
      <c r="N74" s="20" t="e">
        <f t="shared" si="63"/>
        <v>#VALUE!</v>
      </c>
      <c r="O74" s="20" t="e">
        <f t="shared" si="63"/>
        <v>#VALUE!</v>
      </c>
      <c r="P74" s="20" t="e">
        <f t="shared" si="63"/>
        <v>#VALUE!</v>
      </c>
      <c r="Q74" s="20">
        <f t="shared" si="63"/>
        <v>0</v>
      </c>
      <c r="R74" s="20" t="e">
        <f t="shared" si="63"/>
        <v>#VALUE!</v>
      </c>
    </row>
    <row r="75" spans="1:18" x14ac:dyDescent="0.4">
      <c r="B75" t="s">
        <v>99</v>
      </c>
      <c r="C75">
        <v>2020</v>
      </c>
      <c r="D75" s="23" t="e">
        <f t="array" ref="D75:D80">TREND(D72:D74,C72:C74,C75:C80,TRUE)</f>
        <v>#VALUE!</v>
      </c>
      <c r="E75" s="23" t="e">
        <f t="array" ref="E75:E80">TREND(E72:E74,C72:C74,C75:C80,TRUE)</f>
        <v>#VALUE!</v>
      </c>
      <c r="F75" s="23" t="e">
        <f t="array" ref="F75:F80">TREND(F72:F74,C72:C74,C75:C80,TRUE)</f>
        <v>#VALUE!</v>
      </c>
      <c r="G75" s="23" t="e">
        <f t="array" ref="G75:G80">TREND(G72:G74,C72:C74,C75:C80,TRUE)</f>
        <v>#VALUE!</v>
      </c>
      <c r="H75" s="23" t="e" cm="1">
        <f t="array" ref="H75">TREND(H72:H74,C72:C74,C75:C80,TRUE)</f>
        <v>#VALUE!</v>
      </c>
      <c r="I75" s="23" t="e">
        <f t="array" ref="I75:I80">TREND(I72:I74,C72:C74,C75:C80,TRUE)</f>
        <v>#VALUE!</v>
      </c>
      <c r="L75" s="22" t="s">
        <v>66</v>
      </c>
      <c r="M75" s="20" t="e">
        <f t="shared" ref="M75:R75" si="64">D49</f>
        <v>#VALUE!</v>
      </c>
      <c r="N75" s="20" t="e">
        <f t="shared" si="64"/>
        <v>#VALUE!</v>
      </c>
      <c r="O75" s="20" t="e">
        <f t="shared" si="64"/>
        <v>#VALUE!</v>
      </c>
      <c r="P75" s="20" t="e">
        <f t="shared" si="64"/>
        <v>#VALUE!</v>
      </c>
      <c r="Q75" s="20">
        <f t="shared" si="64"/>
        <v>0</v>
      </c>
      <c r="R75" s="20" t="e">
        <f t="shared" si="64"/>
        <v>#VALUE!</v>
      </c>
    </row>
    <row r="76" spans="1:18" x14ac:dyDescent="0.4">
      <c r="B76" t="s">
        <v>100</v>
      </c>
      <c r="C76">
        <v>2025</v>
      </c>
      <c r="D76" s="23" t="e">
        <v>#VALUE!</v>
      </c>
      <c r="E76" s="23" t="e">
        <v>#VALUE!</v>
      </c>
      <c r="F76" s="23" t="e">
        <v>#VALUE!</v>
      </c>
      <c r="G76" s="23" t="e">
        <v>#VALUE!</v>
      </c>
      <c r="I76" s="23" t="e">
        <v>#VALUE!</v>
      </c>
      <c r="L76" s="22" t="s">
        <v>67</v>
      </c>
      <c r="M76" s="20" t="e">
        <f t="shared" ref="M76:R76" si="65">D59</f>
        <v>#VALUE!</v>
      </c>
      <c r="N76" s="20" t="e">
        <f t="shared" si="65"/>
        <v>#VALUE!</v>
      </c>
      <c r="O76" s="20" t="e">
        <f t="shared" si="65"/>
        <v>#VALUE!</v>
      </c>
      <c r="P76" s="20" t="e">
        <f t="shared" si="65"/>
        <v>#VALUE!</v>
      </c>
      <c r="Q76" s="20">
        <f t="shared" si="65"/>
        <v>0</v>
      </c>
      <c r="R76" s="20" t="e">
        <f t="shared" si="65"/>
        <v>#VALUE!</v>
      </c>
    </row>
    <row r="77" spans="1:18" x14ac:dyDescent="0.4">
      <c r="B77" t="s">
        <v>101</v>
      </c>
      <c r="C77">
        <v>2030</v>
      </c>
      <c r="D77" s="23" t="e">
        <v>#VALUE!</v>
      </c>
      <c r="E77" s="23" t="e">
        <v>#VALUE!</v>
      </c>
      <c r="F77" s="23" t="e">
        <v>#VALUE!</v>
      </c>
      <c r="G77" s="23" t="e">
        <v>#VALUE!</v>
      </c>
      <c r="I77" s="23" t="e">
        <v>#VALUE!</v>
      </c>
      <c r="L77" s="22" t="s">
        <v>68</v>
      </c>
      <c r="M77" s="20" t="e">
        <f t="shared" ref="M77:R77" si="66">D69</f>
        <v>#VALUE!</v>
      </c>
      <c r="N77" s="20" t="e">
        <f t="shared" si="66"/>
        <v>#VALUE!</v>
      </c>
      <c r="O77" s="20" t="e">
        <f t="shared" si="66"/>
        <v>#VALUE!</v>
      </c>
      <c r="P77" s="20" t="e">
        <f t="shared" si="66"/>
        <v>#VALUE!</v>
      </c>
      <c r="Q77" s="20">
        <f t="shared" si="66"/>
        <v>0</v>
      </c>
      <c r="R77" s="20" t="e">
        <f t="shared" si="66"/>
        <v>#VALUE!</v>
      </c>
    </row>
    <row r="78" spans="1:18" x14ac:dyDescent="0.4">
      <c r="B78" t="s">
        <v>102</v>
      </c>
      <c r="C78">
        <v>2035</v>
      </c>
      <c r="D78" s="23" t="e">
        <v>#VALUE!</v>
      </c>
      <c r="E78" s="23" t="e">
        <v>#VALUE!</v>
      </c>
      <c r="F78" s="23" t="e">
        <v>#VALUE!</v>
      </c>
      <c r="G78" s="23" t="e">
        <v>#VALUE!</v>
      </c>
      <c r="I78" s="23" t="e">
        <v>#VALUE!</v>
      </c>
      <c r="L78" s="22" t="s">
        <v>69</v>
      </c>
      <c r="M78" s="20" t="e">
        <f t="shared" ref="M78:R78" si="67">D79</f>
        <v>#VALUE!</v>
      </c>
      <c r="N78" s="20" t="e">
        <f t="shared" si="67"/>
        <v>#VALUE!</v>
      </c>
      <c r="O78" s="20" t="e">
        <f t="shared" si="67"/>
        <v>#VALUE!</v>
      </c>
      <c r="P78" s="20" t="e">
        <f t="shared" si="67"/>
        <v>#VALUE!</v>
      </c>
      <c r="Q78" s="20">
        <f t="shared" si="67"/>
        <v>0</v>
      </c>
      <c r="R78" s="20" t="e">
        <f t="shared" si="67"/>
        <v>#VALUE!</v>
      </c>
    </row>
    <row r="79" spans="1:18" x14ac:dyDescent="0.4">
      <c r="B79" t="s">
        <v>103</v>
      </c>
      <c r="C79">
        <v>2040</v>
      </c>
      <c r="D79" s="23" t="e">
        <v>#VALUE!</v>
      </c>
      <c r="E79" s="23" t="e">
        <v>#VALUE!</v>
      </c>
      <c r="F79" s="23" t="e">
        <v>#VALUE!</v>
      </c>
      <c r="G79" s="23" t="e">
        <v>#VALUE!</v>
      </c>
      <c r="I79" s="23" t="e">
        <v>#VALUE!</v>
      </c>
      <c r="L79" s="22" t="s">
        <v>70</v>
      </c>
      <c r="M79" s="20" t="e">
        <f t="shared" ref="M79:R79" si="68">D89</f>
        <v>#VALUE!</v>
      </c>
      <c r="N79" s="20" t="e">
        <f t="shared" si="68"/>
        <v>#VALUE!</v>
      </c>
      <c r="O79" s="20" t="e">
        <f t="shared" si="68"/>
        <v>#VALUE!</v>
      </c>
      <c r="P79" s="20" t="e">
        <f t="shared" si="68"/>
        <v>#VALUE!</v>
      </c>
      <c r="Q79" s="20">
        <f t="shared" si="68"/>
        <v>0</v>
      </c>
      <c r="R79" s="20" t="e">
        <f t="shared" si="68"/>
        <v>#VALUE!</v>
      </c>
    </row>
    <row r="80" spans="1:18" x14ac:dyDescent="0.4">
      <c r="B80" t="s">
        <v>104</v>
      </c>
      <c r="C80">
        <v>2045</v>
      </c>
      <c r="D80" s="23" t="e">
        <v>#VALUE!</v>
      </c>
      <c r="E80" s="23" t="e">
        <v>#VALUE!</v>
      </c>
      <c r="F80" s="23" t="e">
        <v>#VALUE!</v>
      </c>
      <c r="G80" s="23" t="e">
        <v>#VALUE!</v>
      </c>
      <c r="I80" s="23" t="e">
        <v>#VALUE!</v>
      </c>
      <c r="L80" s="22" t="s">
        <v>71</v>
      </c>
      <c r="M80" s="20" t="e">
        <f t="shared" ref="M80:R80" si="69">D99</f>
        <v>#VALUE!</v>
      </c>
      <c r="N80" s="20" t="e">
        <f t="shared" si="69"/>
        <v>#VALUE!</v>
      </c>
      <c r="O80" s="20" t="e">
        <f t="shared" si="69"/>
        <v>#VALUE!</v>
      </c>
      <c r="P80" s="20" t="e">
        <f t="shared" si="69"/>
        <v>#VALUE!</v>
      </c>
      <c r="Q80" s="20">
        <f t="shared" si="69"/>
        <v>0</v>
      </c>
      <c r="R80" s="20" t="e">
        <f t="shared" si="69"/>
        <v>#VALUE!</v>
      </c>
    </row>
    <row r="81" spans="1:18" x14ac:dyDescent="0.4">
      <c r="L81" s="22" t="s">
        <v>72</v>
      </c>
      <c r="M81" s="20" t="e">
        <f t="shared" ref="M81:R81" si="70">D109</f>
        <v>#VALUE!</v>
      </c>
      <c r="N81" s="20" t="e">
        <f t="shared" si="70"/>
        <v>#VALUE!</v>
      </c>
      <c r="O81" s="20" t="e">
        <f t="shared" si="70"/>
        <v>#VALUE!</v>
      </c>
      <c r="P81" s="20" t="e">
        <f t="shared" si="70"/>
        <v>#VALUE!</v>
      </c>
      <c r="Q81" s="20">
        <f t="shared" si="70"/>
        <v>0</v>
      </c>
      <c r="R81" s="20" t="e">
        <f t="shared" si="70"/>
        <v>#VALUE!</v>
      </c>
    </row>
    <row r="82" spans="1:18" x14ac:dyDescent="0.4">
      <c r="A82" t="s">
        <v>70</v>
      </c>
      <c r="B82" s="24" t="s">
        <v>96</v>
      </c>
      <c r="C82" s="24">
        <v>2005</v>
      </c>
      <c r="D82" s="26" t="e">
        <f>世帯主率!C12</f>
        <v>#DIV/0!</v>
      </c>
      <c r="E82" s="26" t="e">
        <f>世帯主率!D12</f>
        <v>#DIV/0!</v>
      </c>
      <c r="F82" s="26" t="e">
        <f>世帯主率!E12</f>
        <v>#DIV/0!</v>
      </c>
      <c r="G82" s="26" t="e">
        <f>世帯主率!F12</f>
        <v>#DIV/0!</v>
      </c>
      <c r="H82" s="26" t="e">
        <f>世帯主率!G12</f>
        <v>#DIV/0!</v>
      </c>
      <c r="I82" s="26" t="e">
        <f>世帯主率!B12</f>
        <v>#DIV/0!</v>
      </c>
      <c r="L82" s="22" t="s">
        <v>73</v>
      </c>
      <c r="M82" s="20" t="e">
        <f t="shared" ref="M82:R82" si="71">D119</f>
        <v>#VALUE!</v>
      </c>
      <c r="N82" s="20" t="e">
        <f t="shared" si="71"/>
        <v>#VALUE!</v>
      </c>
      <c r="O82" s="20" t="e">
        <f t="shared" si="71"/>
        <v>#VALUE!</v>
      </c>
      <c r="P82" s="20" t="e">
        <f t="shared" si="71"/>
        <v>#VALUE!</v>
      </c>
      <c r="Q82" s="20">
        <f t="shared" si="71"/>
        <v>0</v>
      </c>
      <c r="R82" s="20" t="e">
        <f t="shared" si="71"/>
        <v>#VALUE!</v>
      </c>
    </row>
    <row r="83" spans="1:18" x14ac:dyDescent="0.4">
      <c r="B83" s="24" t="s">
        <v>97</v>
      </c>
      <c r="C83" s="24">
        <v>2010</v>
      </c>
      <c r="D83" s="26" t="e">
        <f>世帯主率!C30</f>
        <v>#DIV/0!</v>
      </c>
      <c r="E83" s="26" t="e">
        <f>世帯主率!D30</f>
        <v>#DIV/0!</v>
      </c>
      <c r="F83" s="26" t="e">
        <f>世帯主率!E30</f>
        <v>#DIV/0!</v>
      </c>
      <c r="G83" s="26" t="e">
        <f>世帯主率!F30</f>
        <v>#DIV/0!</v>
      </c>
      <c r="H83" s="26" t="e">
        <f>世帯主率!G30</f>
        <v>#DIV/0!</v>
      </c>
      <c r="I83" s="26" t="e">
        <f>世帯主率!B30</f>
        <v>#DIV/0!</v>
      </c>
      <c r="L83" s="22" t="s">
        <v>74</v>
      </c>
      <c r="M83" s="20" t="e">
        <f t="shared" ref="M83:R83" si="72">D129</f>
        <v>#VALUE!</v>
      </c>
      <c r="N83" s="20" t="e">
        <f t="shared" si="72"/>
        <v>#VALUE!</v>
      </c>
      <c r="O83" s="20" t="e">
        <f t="shared" si="72"/>
        <v>#VALUE!</v>
      </c>
      <c r="P83" s="20" t="e">
        <f t="shared" si="72"/>
        <v>#VALUE!</v>
      </c>
      <c r="Q83" s="20">
        <f t="shared" si="72"/>
        <v>0</v>
      </c>
      <c r="R83" s="20" t="e">
        <f t="shared" si="72"/>
        <v>#VALUE!</v>
      </c>
    </row>
    <row r="84" spans="1:18" ht="19.5" thickBot="1" x14ac:dyDescent="0.45">
      <c r="B84" s="25" t="s">
        <v>98</v>
      </c>
      <c r="C84" s="25">
        <v>2015</v>
      </c>
      <c r="D84" s="27" t="e">
        <f>世帯主率!C48</f>
        <v>#DIV/0!</v>
      </c>
      <c r="E84" s="27" t="e">
        <f>世帯主率!D48</f>
        <v>#DIV/0!</v>
      </c>
      <c r="F84" s="27" t="e">
        <f>世帯主率!E48</f>
        <v>#DIV/0!</v>
      </c>
      <c r="G84" s="27" t="e">
        <f>世帯主率!F48</f>
        <v>#DIV/0!</v>
      </c>
      <c r="H84" s="27" t="e">
        <f>世帯主率!G48</f>
        <v>#DIV/0!</v>
      </c>
      <c r="I84" s="27" t="e">
        <f>世帯主率!B48</f>
        <v>#DIV/0!</v>
      </c>
      <c r="L84" s="22" t="s">
        <v>75</v>
      </c>
      <c r="M84" s="20" t="e">
        <f t="shared" ref="M84:R84" si="73">D139</f>
        <v>#VALUE!</v>
      </c>
      <c r="N84" s="20" t="e">
        <f t="shared" si="73"/>
        <v>#VALUE!</v>
      </c>
      <c r="O84" s="20" t="e">
        <f t="shared" si="73"/>
        <v>#VALUE!</v>
      </c>
      <c r="P84" s="20" t="e">
        <f t="shared" si="73"/>
        <v>#VALUE!</v>
      </c>
      <c r="Q84" s="20">
        <f t="shared" si="73"/>
        <v>0</v>
      </c>
      <c r="R84" s="20" t="e">
        <f t="shared" si="73"/>
        <v>#VALUE!</v>
      </c>
    </row>
    <row r="85" spans="1:18" x14ac:dyDescent="0.4">
      <c r="B85" t="s">
        <v>99</v>
      </c>
      <c r="C85">
        <v>2020</v>
      </c>
      <c r="D85" s="23" t="e">
        <f t="array" ref="D85:D90">TREND(D82:D84,C82:C84,C85:C90,TRUE)</f>
        <v>#VALUE!</v>
      </c>
      <c r="E85" s="23" t="e">
        <f t="array" ref="E85:E90">TREND(E82:E84,C82:C84,C85:C90,TRUE)</f>
        <v>#VALUE!</v>
      </c>
      <c r="F85" s="23" t="e">
        <f t="array" ref="F85:F90">TREND(F82:F84,C82:C84,C85:C90,TRUE)</f>
        <v>#VALUE!</v>
      </c>
      <c r="G85" s="23" t="e">
        <f t="array" ref="G85:G90">TREND(G82:G84,C82:C84,C85:C90,TRUE)</f>
        <v>#VALUE!</v>
      </c>
      <c r="H85" s="23" t="e" cm="1">
        <f t="array" ref="H85">TREND(H82:H84,C82:C84,C85:C90,TRUE)</f>
        <v>#VALUE!</v>
      </c>
      <c r="I85" s="23" t="e">
        <f t="array" ref="I85:I90">TREND(I82:I84,C82:C84,C85:C90,TRUE)</f>
        <v>#VALUE!</v>
      </c>
      <c r="L85" s="22" t="s">
        <v>76</v>
      </c>
      <c r="M85" s="20" t="e">
        <f t="shared" ref="M85:R85" si="74">D149</f>
        <v>#VALUE!</v>
      </c>
      <c r="N85" s="20" t="e">
        <f t="shared" si="74"/>
        <v>#VALUE!</v>
      </c>
      <c r="O85" s="20" t="e">
        <f t="shared" si="74"/>
        <v>#VALUE!</v>
      </c>
      <c r="P85" s="20" t="e">
        <f t="shared" si="74"/>
        <v>#VALUE!</v>
      </c>
      <c r="Q85" s="20">
        <f t="shared" si="74"/>
        <v>0</v>
      </c>
      <c r="R85" s="20" t="e">
        <f t="shared" si="74"/>
        <v>#VALUE!</v>
      </c>
    </row>
    <row r="86" spans="1:18" x14ac:dyDescent="0.4">
      <c r="B86" t="s">
        <v>100</v>
      </c>
      <c r="C86">
        <v>2025</v>
      </c>
      <c r="D86" s="23" t="e">
        <v>#VALUE!</v>
      </c>
      <c r="E86" s="23" t="e">
        <v>#VALUE!</v>
      </c>
      <c r="F86" s="23" t="e">
        <v>#VALUE!</v>
      </c>
      <c r="G86" s="23" t="e">
        <v>#VALUE!</v>
      </c>
      <c r="I86" s="23" t="e">
        <v>#VALUE!</v>
      </c>
    </row>
    <row r="87" spans="1:18" x14ac:dyDescent="0.4">
      <c r="B87" t="s">
        <v>101</v>
      </c>
      <c r="C87">
        <v>2030</v>
      </c>
      <c r="D87" s="23" t="e">
        <v>#VALUE!</v>
      </c>
      <c r="E87" s="23" t="e">
        <v>#VALUE!</v>
      </c>
      <c r="F87" s="23" t="e">
        <v>#VALUE!</v>
      </c>
      <c r="G87" s="23" t="e">
        <v>#VALUE!</v>
      </c>
      <c r="I87" s="23" t="e">
        <v>#VALUE!</v>
      </c>
      <c r="K87" s="28" t="s">
        <v>118</v>
      </c>
      <c r="L87" s="22" t="s">
        <v>61</v>
      </c>
    </row>
    <row r="88" spans="1:18" x14ac:dyDescent="0.4">
      <c r="B88" t="s">
        <v>102</v>
      </c>
      <c r="C88">
        <v>2035</v>
      </c>
      <c r="D88" s="23" t="e">
        <v>#VALUE!</v>
      </c>
      <c r="E88" s="23" t="e">
        <v>#VALUE!</v>
      </c>
      <c r="F88" s="23" t="e">
        <v>#VALUE!</v>
      </c>
      <c r="G88" s="23" t="e">
        <v>#VALUE!</v>
      </c>
      <c r="I88" s="23" t="e">
        <v>#VALUE!</v>
      </c>
      <c r="L88" s="22" t="s">
        <v>62</v>
      </c>
      <c r="M88" s="20" t="e">
        <f t="shared" ref="M88:R88" si="75">D10</f>
        <v>#VALUE!</v>
      </c>
      <c r="N88" s="20" t="e">
        <f t="shared" si="75"/>
        <v>#VALUE!</v>
      </c>
      <c r="O88" s="20" t="e">
        <f t="shared" si="75"/>
        <v>#VALUE!</v>
      </c>
      <c r="P88" s="20" t="e">
        <f t="shared" si="75"/>
        <v>#VALUE!</v>
      </c>
      <c r="Q88" s="20">
        <f t="shared" si="75"/>
        <v>0</v>
      </c>
      <c r="R88" s="20" t="e">
        <f t="shared" si="75"/>
        <v>#VALUE!</v>
      </c>
    </row>
    <row r="89" spans="1:18" x14ac:dyDescent="0.4">
      <c r="B89" t="s">
        <v>103</v>
      </c>
      <c r="C89">
        <v>2040</v>
      </c>
      <c r="D89" s="23" t="e">
        <v>#VALUE!</v>
      </c>
      <c r="E89" s="23" t="e">
        <v>#VALUE!</v>
      </c>
      <c r="F89" s="23" t="e">
        <v>#VALUE!</v>
      </c>
      <c r="G89" s="23" t="e">
        <v>#VALUE!</v>
      </c>
      <c r="I89" s="23" t="e">
        <v>#VALUE!</v>
      </c>
      <c r="L89" s="22" t="s">
        <v>63</v>
      </c>
      <c r="M89" s="20" t="e">
        <f t="shared" ref="M89:R89" si="76">D20</f>
        <v>#VALUE!</v>
      </c>
      <c r="N89" s="20" t="e">
        <f t="shared" si="76"/>
        <v>#VALUE!</v>
      </c>
      <c r="O89" s="20" t="e">
        <f t="shared" si="76"/>
        <v>#VALUE!</v>
      </c>
      <c r="P89" s="20" t="e">
        <f t="shared" si="76"/>
        <v>#VALUE!</v>
      </c>
      <c r="Q89" s="20">
        <f t="shared" si="76"/>
        <v>0</v>
      </c>
      <c r="R89" s="20" t="e">
        <f t="shared" si="76"/>
        <v>#VALUE!</v>
      </c>
    </row>
    <row r="90" spans="1:18" x14ac:dyDescent="0.4">
      <c r="B90" t="s">
        <v>104</v>
      </c>
      <c r="C90">
        <v>2045</v>
      </c>
      <c r="D90" s="23" t="e">
        <v>#VALUE!</v>
      </c>
      <c r="E90" s="23" t="e">
        <v>#VALUE!</v>
      </c>
      <c r="F90" s="23" t="e">
        <v>#VALUE!</v>
      </c>
      <c r="G90" s="23" t="e">
        <v>#VALUE!</v>
      </c>
      <c r="I90" s="23" t="e">
        <v>#VALUE!</v>
      </c>
      <c r="L90" s="22" t="s">
        <v>64</v>
      </c>
      <c r="M90" s="20" t="e">
        <f t="shared" ref="M90:R90" si="77">D30</f>
        <v>#VALUE!</v>
      </c>
      <c r="N90" s="20" t="e">
        <f t="shared" si="77"/>
        <v>#VALUE!</v>
      </c>
      <c r="O90" s="20" t="e">
        <f t="shared" si="77"/>
        <v>#VALUE!</v>
      </c>
      <c r="P90" s="20" t="e">
        <f t="shared" si="77"/>
        <v>#VALUE!</v>
      </c>
      <c r="Q90" s="20">
        <f t="shared" si="77"/>
        <v>0</v>
      </c>
      <c r="R90" s="20" t="e">
        <f t="shared" si="77"/>
        <v>#VALUE!</v>
      </c>
    </row>
    <row r="91" spans="1:18" x14ac:dyDescent="0.4">
      <c r="L91" s="22" t="s">
        <v>65</v>
      </c>
      <c r="M91" s="20" t="e">
        <f t="shared" ref="M91:R91" si="78">D40</f>
        <v>#VALUE!</v>
      </c>
      <c r="N91" s="20" t="e">
        <f t="shared" si="78"/>
        <v>#VALUE!</v>
      </c>
      <c r="O91" s="20" t="e">
        <f t="shared" si="78"/>
        <v>#VALUE!</v>
      </c>
      <c r="P91" s="20" t="e">
        <f t="shared" si="78"/>
        <v>#VALUE!</v>
      </c>
      <c r="Q91" s="20">
        <f t="shared" si="78"/>
        <v>0</v>
      </c>
      <c r="R91" s="20" t="e">
        <f t="shared" si="78"/>
        <v>#VALUE!</v>
      </c>
    </row>
    <row r="92" spans="1:18" x14ac:dyDescent="0.4">
      <c r="A92" t="s">
        <v>71</v>
      </c>
      <c r="B92" s="24" t="s">
        <v>96</v>
      </c>
      <c r="C92" s="24">
        <v>2005</v>
      </c>
      <c r="D92" s="26" t="e">
        <f>世帯主率!C13</f>
        <v>#DIV/0!</v>
      </c>
      <c r="E92" s="26" t="e">
        <f>世帯主率!D13</f>
        <v>#DIV/0!</v>
      </c>
      <c r="F92" s="26" t="e">
        <f>世帯主率!E13</f>
        <v>#DIV/0!</v>
      </c>
      <c r="G92" s="26" t="e">
        <f>世帯主率!F13</f>
        <v>#DIV/0!</v>
      </c>
      <c r="H92" s="26" t="e">
        <f>世帯主率!G13</f>
        <v>#DIV/0!</v>
      </c>
      <c r="I92" s="26" t="e">
        <f>世帯主率!B13</f>
        <v>#DIV/0!</v>
      </c>
      <c r="L92" s="22" t="s">
        <v>66</v>
      </c>
      <c r="M92" s="20" t="e">
        <f t="shared" ref="M92:R92" si="79">D50</f>
        <v>#VALUE!</v>
      </c>
      <c r="N92" s="20" t="e">
        <f t="shared" si="79"/>
        <v>#VALUE!</v>
      </c>
      <c r="O92" s="20" t="e">
        <f t="shared" si="79"/>
        <v>#VALUE!</v>
      </c>
      <c r="P92" s="20" t="e">
        <f t="shared" si="79"/>
        <v>#VALUE!</v>
      </c>
      <c r="Q92" s="20">
        <f t="shared" si="79"/>
        <v>0</v>
      </c>
      <c r="R92" s="20" t="e">
        <f t="shared" si="79"/>
        <v>#VALUE!</v>
      </c>
    </row>
    <row r="93" spans="1:18" x14ac:dyDescent="0.4">
      <c r="B93" s="24" t="s">
        <v>97</v>
      </c>
      <c r="C93" s="24">
        <v>2010</v>
      </c>
      <c r="D93" s="26" t="e">
        <f>世帯主率!C31</f>
        <v>#DIV/0!</v>
      </c>
      <c r="E93" s="26" t="e">
        <f>世帯主率!D31</f>
        <v>#DIV/0!</v>
      </c>
      <c r="F93" s="26" t="e">
        <f>世帯主率!E31</f>
        <v>#DIV/0!</v>
      </c>
      <c r="G93" s="26" t="e">
        <f>世帯主率!F31</f>
        <v>#DIV/0!</v>
      </c>
      <c r="H93" s="26" t="e">
        <f>世帯主率!G31</f>
        <v>#DIV/0!</v>
      </c>
      <c r="I93" s="26" t="e">
        <f>世帯主率!B31</f>
        <v>#DIV/0!</v>
      </c>
      <c r="L93" s="22" t="s">
        <v>67</v>
      </c>
      <c r="M93" s="20" t="e">
        <f t="shared" ref="M93:R93" si="80">D60</f>
        <v>#VALUE!</v>
      </c>
      <c r="N93" s="20" t="e">
        <f t="shared" si="80"/>
        <v>#VALUE!</v>
      </c>
      <c r="O93" s="20" t="e">
        <f t="shared" si="80"/>
        <v>#VALUE!</v>
      </c>
      <c r="P93" s="20" t="e">
        <f t="shared" si="80"/>
        <v>#VALUE!</v>
      </c>
      <c r="Q93" s="20">
        <f t="shared" si="80"/>
        <v>0</v>
      </c>
      <c r="R93" s="20" t="e">
        <f t="shared" si="80"/>
        <v>#VALUE!</v>
      </c>
    </row>
    <row r="94" spans="1:18" ht="19.5" thickBot="1" x14ac:dyDescent="0.45">
      <c r="B94" s="25" t="s">
        <v>98</v>
      </c>
      <c r="C94" s="25">
        <v>2015</v>
      </c>
      <c r="D94" s="27" t="e">
        <f>世帯主率!C49</f>
        <v>#DIV/0!</v>
      </c>
      <c r="E94" s="27" t="e">
        <f>世帯主率!D49</f>
        <v>#DIV/0!</v>
      </c>
      <c r="F94" s="27" t="e">
        <f>世帯主率!E49</f>
        <v>#DIV/0!</v>
      </c>
      <c r="G94" s="27" t="e">
        <f>世帯主率!F49</f>
        <v>#DIV/0!</v>
      </c>
      <c r="H94" s="27" t="e">
        <f>世帯主率!G49</f>
        <v>#DIV/0!</v>
      </c>
      <c r="I94" s="27" t="e">
        <f>世帯主率!B49</f>
        <v>#DIV/0!</v>
      </c>
      <c r="L94" s="22" t="s">
        <v>68</v>
      </c>
      <c r="M94" s="20" t="e">
        <f t="shared" ref="M94:R94" si="81">D70</f>
        <v>#VALUE!</v>
      </c>
      <c r="N94" s="20" t="e">
        <f t="shared" si="81"/>
        <v>#VALUE!</v>
      </c>
      <c r="O94" s="20" t="e">
        <f t="shared" si="81"/>
        <v>#VALUE!</v>
      </c>
      <c r="P94" s="20" t="e">
        <f t="shared" si="81"/>
        <v>#VALUE!</v>
      </c>
      <c r="Q94" s="20">
        <f t="shared" si="81"/>
        <v>0</v>
      </c>
      <c r="R94" s="20" t="e">
        <f t="shared" si="81"/>
        <v>#VALUE!</v>
      </c>
    </row>
    <row r="95" spans="1:18" x14ac:dyDescent="0.4">
      <c r="B95" t="s">
        <v>99</v>
      </c>
      <c r="C95">
        <v>2020</v>
      </c>
      <c r="D95" s="23" t="e">
        <f t="array" ref="D95:D100">TREND(D92:D94,C92:C94,C95:C100,TRUE)</f>
        <v>#VALUE!</v>
      </c>
      <c r="E95" s="23" t="e">
        <f t="array" ref="E95:E100">TREND(E92:E94,C92:C94,C95:C100,TRUE)</f>
        <v>#VALUE!</v>
      </c>
      <c r="F95" s="23" t="e">
        <f t="array" ref="F95:F100">TREND(F92:F94,C92:C94,C95:C100,TRUE)</f>
        <v>#VALUE!</v>
      </c>
      <c r="G95" s="23" t="e">
        <f t="array" ref="G95:G100">TREND(G92:G94,C92:C94,C95:C100,TRUE)</f>
        <v>#VALUE!</v>
      </c>
      <c r="H95" s="23" t="e" cm="1">
        <f t="array" ref="H95">TREND(H92:H94,C92:C94,C95:C100,TRUE)</f>
        <v>#VALUE!</v>
      </c>
      <c r="I95" s="23" t="e">
        <f t="array" ref="I95:I100">TREND(I92:I94,C92:C94,C95:C100,TRUE)</f>
        <v>#VALUE!</v>
      </c>
      <c r="L95" s="22" t="s">
        <v>69</v>
      </c>
      <c r="M95" s="20" t="e">
        <f t="shared" ref="M95:R95" si="82">D80</f>
        <v>#VALUE!</v>
      </c>
      <c r="N95" s="20" t="e">
        <f t="shared" si="82"/>
        <v>#VALUE!</v>
      </c>
      <c r="O95" s="20" t="e">
        <f t="shared" si="82"/>
        <v>#VALUE!</v>
      </c>
      <c r="P95" s="20" t="e">
        <f t="shared" si="82"/>
        <v>#VALUE!</v>
      </c>
      <c r="Q95" s="20">
        <f t="shared" si="82"/>
        <v>0</v>
      </c>
      <c r="R95" s="20" t="e">
        <f t="shared" si="82"/>
        <v>#VALUE!</v>
      </c>
    </row>
    <row r="96" spans="1:18" x14ac:dyDescent="0.4">
      <c r="B96" t="s">
        <v>100</v>
      </c>
      <c r="C96">
        <v>2025</v>
      </c>
      <c r="D96" s="23" t="e">
        <v>#VALUE!</v>
      </c>
      <c r="E96" s="23" t="e">
        <v>#VALUE!</v>
      </c>
      <c r="F96" s="23" t="e">
        <v>#VALUE!</v>
      </c>
      <c r="G96" s="23" t="e">
        <v>#VALUE!</v>
      </c>
      <c r="I96" s="23" t="e">
        <v>#VALUE!</v>
      </c>
      <c r="L96" s="22" t="s">
        <v>70</v>
      </c>
      <c r="M96" s="20" t="e">
        <f t="shared" ref="M96:R96" si="83">D90</f>
        <v>#VALUE!</v>
      </c>
      <c r="N96" s="20" t="e">
        <f t="shared" si="83"/>
        <v>#VALUE!</v>
      </c>
      <c r="O96" s="20" t="e">
        <f t="shared" si="83"/>
        <v>#VALUE!</v>
      </c>
      <c r="P96" s="20" t="e">
        <f t="shared" si="83"/>
        <v>#VALUE!</v>
      </c>
      <c r="Q96" s="20">
        <f t="shared" si="83"/>
        <v>0</v>
      </c>
      <c r="R96" s="20" t="e">
        <f t="shared" si="83"/>
        <v>#VALUE!</v>
      </c>
    </row>
    <row r="97" spans="1:18" x14ac:dyDescent="0.4">
      <c r="B97" t="s">
        <v>101</v>
      </c>
      <c r="C97">
        <v>2030</v>
      </c>
      <c r="D97" s="23" t="e">
        <v>#VALUE!</v>
      </c>
      <c r="E97" s="23" t="e">
        <v>#VALUE!</v>
      </c>
      <c r="F97" s="23" t="e">
        <v>#VALUE!</v>
      </c>
      <c r="G97" s="23" t="e">
        <v>#VALUE!</v>
      </c>
      <c r="I97" s="23" t="e">
        <v>#VALUE!</v>
      </c>
      <c r="L97" s="22" t="s">
        <v>71</v>
      </c>
      <c r="M97" s="20" t="e">
        <f t="shared" ref="M97:R97" si="84">D100</f>
        <v>#VALUE!</v>
      </c>
      <c r="N97" s="20" t="e">
        <f t="shared" si="84"/>
        <v>#VALUE!</v>
      </c>
      <c r="O97" s="20" t="e">
        <f t="shared" si="84"/>
        <v>#VALUE!</v>
      </c>
      <c r="P97" s="20" t="e">
        <f t="shared" si="84"/>
        <v>#VALUE!</v>
      </c>
      <c r="Q97" s="20">
        <f t="shared" si="84"/>
        <v>0</v>
      </c>
      <c r="R97" s="20" t="e">
        <f t="shared" si="84"/>
        <v>#VALUE!</v>
      </c>
    </row>
    <row r="98" spans="1:18" x14ac:dyDescent="0.4">
      <c r="B98" t="s">
        <v>102</v>
      </c>
      <c r="C98">
        <v>2035</v>
      </c>
      <c r="D98" s="23" t="e">
        <v>#VALUE!</v>
      </c>
      <c r="E98" s="23" t="e">
        <v>#VALUE!</v>
      </c>
      <c r="F98" s="23" t="e">
        <v>#VALUE!</v>
      </c>
      <c r="G98" s="23" t="e">
        <v>#VALUE!</v>
      </c>
      <c r="I98" s="23" t="e">
        <v>#VALUE!</v>
      </c>
      <c r="L98" s="22" t="s">
        <v>72</v>
      </c>
      <c r="M98" s="20" t="e">
        <f t="shared" ref="M98:R98" si="85">D110</f>
        <v>#VALUE!</v>
      </c>
      <c r="N98" s="20" t="e">
        <f t="shared" si="85"/>
        <v>#VALUE!</v>
      </c>
      <c r="O98" s="20" t="e">
        <f t="shared" si="85"/>
        <v>#VALUE!</v>
      </c>
      <c r="P98" s="20" t="e">
        <f t="shared" si="85"/>
        <v>#VALUE!</v>
      </c>
      <c r="Q98" s="20">
        <f t="shared" si="85"/>
        <v>0</v>
      </c>
      <c r="R98" s="20" t="e">
        <f t="shared" si="85"/>
        <v>#VALUE!</v>
      </c>
    </row>
    <row r="99" spans="1:18" x14ac:dyDescent="0.4">
      <c r="B99" t="s">
        <v>103</v>
      </c>
      <c r="C99">
        <v>2040</v>
      </c>
      <c r="D99" s="23" t="e">
        <v>#VALUE!</v>
      </c>
      <c r="E99" s="23" t="e">
        <v>#VALUE!</v>
      </c>
      <c r="F99" s="23" t="e">
        <v>#VALUE!</v>
      </c>
      <c r="G99" s="23" t="e">
        <v>#VALUE!</v>
      </c>
      <c r="I99" s="23" t="e">
        <v>#VALUE!</v>
      </c>
      <c r="L99" s="22" t="s">
        <v>73</v>
      </c>
      <c r="M99" s="20" t="e">
        <f t="shared" ref="M99:R99" si="86">D120</f>
        <v>#VALUE!</v>
      </c>
      <c r="N99" s="20" t="e">
        <f t="shared" si="86"/>
        <v>#VALUE!</v>
      </c>
      <c r="O99" s="20" t="e">
        <f t="shared" si="86"/>
        <v>#VALUE!</v>
      </c>
      <c r="P99" s="20" t="e">
        <f t="shared" si="86"/>
        <v>#VALUE!</v>
      </c>
      <c r="Q99" s="20">
        <f t="shared" si="86"/>
        <v>0</v>
      </c>
      <c r="R99" s="20" t="e">
        <f t="shared" si="86"/>
        <v>#VALUE!</v>
      </c>
    </row>
    <row r="100" spans="1:18" x14ac:dyDescent="0.4">
      <c r="B100" t="s">
        <v>104</v>
      </c>
      <c r="C100">
        <v>2045</v>
      </c>
      <c r="D100" s="23" t="e">
        <v>#VALUE!</v>
      </c>
      <c r="E100" s="23" t="e">
        <v>#VALUE!</v>
      </c>
      <c r="F100" s="23" t="e">
        <v>#VALUE!</v>
      </c>
      <c r="G100" s="23" t="e">
        <v>#VALUE!</v>
      </c>
      <c r="I100" s="23" t="e">
        <v>#VALUE!</v>
      </c>
      <c r="L100" s="22" t="s">
        <v>74</v>
      </c>
      <c r="M100" s="20" t="e">
        <f t="shared" ref="M100:R100" si="87">D130</f>
        <v>#VALUE!</v>
      </c>
      <c r="N100" s="20" t="e">
        <f t="shared" si="87"/>
        <v>#VALUE!</v>
      </c>
      <c r="O100" s="20" t="e">
        <f t="shared" si="87"/>
        <v>#VALUE!</v>
      </c>
      <c r="P100" s="20" t="e">
        <f t="shared" si="87"/>
        <v>#VALUE!</v>
      </c>
      <c r="Q100" s="20">
        <f t="shared" si="87"/>
        <v>0</v>
      </c>
      <c r="R100" s="20" t="e">
        <f t="shared" si="87"/>
        <v>#VALUE!</v>
      </c>
    </row>
    <row r="101" spans="1:18" x14ac:dyDescent="0.4">
      <c r="L101" s="22" t="s">
        <v>75</v>
      </c>
      <c r="M101" s="20" t="e">
        <f t="shared" ref="M101:R101" si="88">D140</f>
        <v>#VALUE!</v>
      </c>
      <c r="N101" s="20" t="e">
        <f t="shared" si="88"/>
        <v>#VALUE!</v>
      </c>
      <c r="O101" s="20" t="e">
        <f t="shared" si="88"/>
        <v>#VALUE!</v>
      </c>
      <c r="P101" s="20" t="e">
        <f t="shared" si="88"/>
        <v>#VALUE!</v>
      </c>
      <c r="Q101" s="20">
        <f t="shared" si="88"/>
        <v>0</v>
      </c>
      <c r="R101" s="20" t="e">
        <f t="shared" si="88"/>
        <v>#VALUE!</v>
      </c>
    </row>
    <row r="102" spans="1:18" x14ac:dyDescent="0.4">
      <c r="A102" t="s">
        <v>72</v>
      </c>
      <c r="B102" s="24" t="s">
        <v>96</v>
      </c>
      <c r="C102" s="24">
        <v>2005</v>
      </c>
      <c r="D102" s="26" t="e">
        <f>世帯主率!C14</f>
        <v>#DIV/0!</v>
      </c>
      <c r="E102" s="26" t="e">
        <f>世帯主率!D14</f>
        <v>#DIV/0!</v>
      </c>
      <c r="F102" s="26" t="e">
        <f>世帯主率!E14</f>
        <v>#DIV/0!</v>
      </c>
      <c r="G102" s="26" t="e">
        <f>世帯主率!F14</f>
        <v>#DIV/0!</v>
      </c>
      <c r="H102" s="26" t="e">
        <f>世帯主率!G14</f>
        <v>#DIV/0!</v>
      </c>
      <c r="I102" s="26" t="e">
        <f>世帯主率!B14</f>
        <v>#DIV/0!</v>
      </c>
      <c r="L102" s="22" t="s">
        <v>76</v>
      </c>
      <c r="M102" s="20" t="e">
        <f t="shared" ref="M102:R102" si="89">D150</f>
        <v>#VALUE!</v>
      </c>
      <c r="N102" s="20" t="e">
        <f t="shared" si="89"/>
        <v>#VALUE!</v>
      </c>
      <c r="O102" s="20" t="e">
        <f t="shared" si="89"/>
        <v>#VALUE!</v>
      </c>
      <c r="P102" s="20" t="e">
        <f t="shared" si="89"/>
        <v>#VALUE!</v>
      </c>
      <c r="Q102" s="20">
        <f t="shared" si="89"/>
        <v>0</v>
      </c>
      <c r="R102" s="20" t="e">
        <f t="shared" si="89"/>
        <v>#VALUE!</v>
      </c>
    </row>
    <row r="103" spans="1:18" x14ac:dyDescent="0.4">
      <c r="B103" s="24" t="s">
        <v>97</v>
      </c>
      <c r="C103" s="24">
        <v>2010</v>
      </c>
      <c r="D103" s="26" t="e">
        <f>世帯主率!C32</f>
        <v>#DIV/0!</v>
      </c>
      <c r="E103" s="26" t="e">
        <f>世帯主率!D32</f>
        <v>#DIV/0!</v>
      </c>
      <c r="F103" s="26" t="e">
        <f>世帯主率!E32</f>
        <v>#DIV/0!</v>
      </c>
      <c r="G103" s="26" t="e">
        <f>世帯主率!F32</f>
        <v>#DIV/0!</v>
      </c>
      <c r="H103" s="26" t="e">
        <f>世帯主率!G32</f>
        <v>#DIV/0!</v>
      </c>
      <c r="I103" s="26" t="e">
        <f>世帯主率!B32</f>
        <v>#DIV/0!</v>
      </c>
    </row>
    <row r="104" spans="1:18" ht="19.5" thickBot="1" x14ac:dyDescent="0.45">
      <c r="B104" s="25" t="s">
        <v>98</v>
      </c>
      <c r="C104" s="25">
        <v>2015</v>
      </c>
      <c r="D104" s="27" t="e">
        <f>世帯主率!C50</f>
        <v>#DIV/0!</v>
      </c>
      <c r="E104" s="27" t="e">
        <f>世帯主率!D50</f>
        <v>#DIV/0!</v>
      </c>
      <c r="F104" s="27" t="e">
        <f>世帯主率!E50</f>
        <v>#DIV/0!</v>
      </c>
      <c r="G104" s="27" t="e">
        <f>世帯主率!F50</f>
        <v>#DIV/0!</v>
      </c>
      <c r="H104" s="27" t="e">
        <f>世帯主率!G50</f>
        <v>#DIV/0!</v>
      </c>
      <c r="I104" s="27" t="e">
        <f>世帯主率!B50</f>
        <v>#DIV/0!</v>
      </c>
    </row>
    <row r="105" spans="1:18" x14ac:dyDescent="0.4">
      <c r="B105" t="s">
        <v>99</v>
      </c>
      <c r="C105">
        <v>2020</v>
      </c>
      <c r="D105" s="23" t="e">
        <f t="array" ref="D105:D110">TREND(D102:D104,C102:C104,C105:C110,TRUE)</f>
        <v>#VALUE!</v>
      </c>
      <c r="E105" s="23" t="e">
        <f t="array" ref="E105:E110">TREND(E102:E104,C102:C104,C105:C110,TRUE)</f>
        <v>#VALUE!</v>
      </c>
      <c r="F105" s="23" t="e">
        <f t="array" ref="F105:F110">TREND(F102:F104,C102:C104,C105:C110,TRUE)</f>
        <v>#VALUE!</v>
      </c>
      <c r="G105" s="23" t="e">
        <f t="array" ref="G105:G110">TREND(G102:G104,C102:C104,C105:C110,TRUE)</f>
        <v>#VALUE!</v>
      </c>
      <c r="H105" s="23" t="e" cm="1">
        <f t="array" ref="H105">TREND(H102:H104,C102:C104,C105:C110,TRUE)</f>
        <v>#VALUE!</v>
      </c>
      <c r="I105" s="23" t="e">
        <f t="array" ref="I105:I110">TREND(I102:I104,C102:C104,C105:C110,TRUE)</f>
        <v>#VALUE!</v>
      </c>
    </row>
    <row r="106" spans="1:18" x14ac:dyDescent="0.4">
      <c r="B106" t="s">
        <v>100</v>
      </c>
      <c r="C106">
        <v>2025</v>
      </c>
      <c r="D106" s="23" t="e">
        <v>#VALUE!</v>
      </c>
      <c r="E106" s="23" t="e">
        <v>#VALUE!</v>
      </c>
      <c r="F106" s="23" t="e">
        <v>#VALUE!</v>
      </c>
      <c r="G106" s="23" t="e">
        <v>#VALUE!</v>
      </c>
      <c r="I106" s="23" t="e">
        <v>#VALUE!</v>
      </c>
    </row>
    <row r="107" spans="1:18" x14ac:dyDescent="0.4">
      <c r="B107" t="s">
        <v>101</v>
      </c>
      <c r="C107">
        <v>2030</v>
      </c>
      <c r="D107" s="23" t="e">
        <v>#VALUE!</v>
      </c>
      <c r="E107" s="23" t="e">
        <v>#VALUE!</v>
      </c>
      <c r="F107" s="23" t="e">
        <v>#VALUE!</v>
      </c>
      <c r="G107" s="23" t="e">
        <v>#VALUE!</v>
      </c>
      <c r="I107" s="23" t="e">
        <v>#VALUE!</v>
      </c>
    </row>
    <row r="108" spans="1:18" x14ac:dyDescent="0.4">
      <c r="B108" t="s">
        <v>102</v>
      </c>
      <c r="C108">
        <v>2035</v>
      </c>
      <c r="D108" s="23" t="e">
        <v>#VALUE!</v>
      </c>
      <c r="E108" s="23" t="e">
        <v>#VALUE!</v>
      </c>
      <c r="F108" s="23" t="e">
        <v>#VALUE!</v>
      </c>
      <c r="G108" s="23" t="e">
        <v>#VALUE!</v>
      </c>
      <c r="I108" s="23" t="e">
        <v>#VALUE!</v>
      </c>
    </row>
    <row r="109" spans="1:18" x14ac:dyDescent="0.4">
      <c r="B109" t="s">
        <v>103</v>
      </c>
      <c r="C109">
        <v>2040</v>
      </c>
      <c r="D109" s="23" t="e">
        <v>#VALUE!</v>
      </c>
      <c r="E109" s="23" t="e">
        <v>#VALUE!</v>
      </c>
      <c r="F109" s="23" t="e">
        <v>#VALUE!</v>
      </c>
      <c r="G109" s="23" t="e">
        <v>#VALUE!</v>
      </c>
      <c r="I109" s="23" t="e">
        <v>#VALUE!</v>
      </c>
    </row>
    <row r="110" spans="1:18" x14ac:dyDescent="0.4">
      <c r="B110" t="s">
        <v>104</v>
      </c>
      <c r="C110">
        <v>2045</v>
      </c>
      <c r="D110" s="23" t="e">
        <v>#VALUE!</v>
      </c>
      <c r="E110" s="23" t="e">
        <v>#VALUE!</v>
      </c>
      <c r="F110" s="23" t="e">
        <v>#VALUE!</v>
      </c>
      <c r="G110" s="23" t="e">
        <v>#VALUE!</v>
      </c>
      <c r="I110" s="23" t="e">
        <v>#VALUE!</v>
      </c>
    </row>
    <row r="112" spans="1:18" x14ac:dyDescent="0.4">
      <c r="A112" t="s">
        <v>73</v>
      </c>
      <c r="B112" s="24" t="s">
        <v>96</v>
      </c>
      <c r="C112" s="24">
        <v>2005</v>
      </c>
      <c r="D112" s="26" t="e">
        <f>世帯主率!C15</f>
        <v>#DIV/0!</v>
      </c>
      <c r="E112" s="26" t="e">
        <f>世帯主率!D15</f>
        <v>#DIV/0!</v>
      </c>
      <c r="F112" s="26" t="e">
        <f>世帯主率!E15</f>
        <v>#DIV/0!</v>
      </c>
      <c r="G112" s="26" t="e">
        <f>世帯主率!F15</f>
        <v>#DIV/0!</v>
      </c>
      <c r="H112" s="26" t="e">
        <f>世帯主率!G15</f>
        <v>#DIV/0!</v>
      </c>
      <c r="I112" s="26" t="e">
        <f>世帯主率!B15</f>
        <v>#DIV/0!</v>
      </c>
    </row>
    <row r="113" spans="1:9" x14ac:dyDescent="0.4">
      <c r="B113" s="24" t="s">
        <v>97</v>
      </c>
      <c r="C113" s="24">
        <v>2010</v>
      </c>
      <c r="D113" s="26" t="e">
        <f>世帯主率!C33</f>
        <v>#DIV/0!</v>
      </c>
      <c r="E113" s="26" t="e">
        <f>世帯主率!D33</f>
        <v>#DIV/0!</v>
      </c>
      <c r="F113" s="26" t="e">
        <f>世帯主率!E33</f>
        <v>#DIV/0!</v>
      </c>
      <c r="G113" s="26" t="e">
        <f>世帯主率!F33</f>
        <v>#DIV/0!</v>
      </c>
      <c r="H113" s="26" t="e">
        <f>世帯主率!G33</f>
        <v>#DIV/0!</v>
      </c>
      <c r="I113" s="26" t="e">
        <f>世帯主率!B33</f>
        <v>#DIV/0!</v>
      </c>
    </row>
    <row r="114" spans="1:9" ht="19.5" thickBot="1" x14ac:dyDescent="0.45">
      <c r="B114" s="25" t="s">
        <v>98</v>
      </c>
      <c r="C114" s="25">
        <v>2015</v>
      </c>
      <c r="D114" s="27" t="e">
        <f>世帯主率!C51</f>
        <v>#DIV/0!</v>
      </c>
      <c r="E114" s="27" t="e">
        <f>世帯主率!D51</f>
        <v>#DIV/0!</v>
      </c>
      <c r="F114" s="27" t="e">
        <f>世帯主率!E51</f>
        <v>#DIV/0!</v>
      </c>
      <c r="G114" s="27" t="e">
        <f>世帯主率!F51</f>
        <v>#DIV/0!</v>
      </c>
      <c r="H114" s="27" t="e">
        <f>世帯主率!G51</f>
        <v>#DIV/0!</v>
      </c>
      <c r="I114" s="27" t="e">
        <f>世帯主率!B51</f>
        <v>#DIV/0!</v>
      </c>
    </row>
    <row r="115" spans="1:9" x14ac:dyDescent="0.4">
      <c r="B115" t="s">
        <v>99</v>
      </c>
      <c r="C115">
        <v>2020</v>
      </c>
      <c r="D115" s="23" t="e">
        <f t="array" ref="D115:D120">TREND(D112:D114,C112:C114,C115:C120,TRUE)</f>
        <v>#VALUE!</v>
      </c>
      <c r="E115" s="23" t="e">
        <f t="array" ref="E115:E120">TREND(E112:E114,C112:C114,C115:C120,TRUE)</f>
        <v>#VALUE!</v>
      </c>
      <c r="F115" s="23" t="e">
        <f t="array" ref="F115:F120">TREND(F112:F114,C112:C114,C115:C120,TRUE)</f>
        <v>#VALUE!</v>
      </c>
      <c r="G115" s="23" t="e">
        <f t="array" ref="G115:G120">TREND(G112:G114,C112:C114,C115:C120,TRUE)</f>
        <v>#VALUE!</v>
      </c>
      <c r="H115" s="23" t="e" cm="1">
        <f t="array" ref="H115">TREND(H112:H114,C112:C114,C115:C120,TRUE)</f>
        <v>#VALUE!</v>
      </c>
      <c r="I115" s="23" t="e">
        <f t="array" ref="I115:I120">TREND(I112:I114,C112:C114,C115:C120,TRUE)</f>
        <v>#VALUE!</v>
      </c>
    </row>
    <row r="116" spans="1:9" x14ac:dyDescent="0.4">
      <c r="B116" t="s">
        <v>100</v>
      </c>
      <c r="C116">
        <v>2025</v>
      </c>
      <c r="D116" s="23" t="e">
        <v>#VALUE!</v>
      </c>
      <c r="E116" s="23" t="e">
        <v>#VALUE!</v>
      </c>
      <c r="F116" s="23" t="e">
        <v>#VALUE!</v>
      </c>
      <c r="G116" s="23" t="e">
        <v>#VALUE!</v>
      </c>
      <c r="I116" s="23" t="e">
        <v>#VALUE!</v>
      </c>
    </row>
    <row r="117" spans="1:9" x14ac:dyDescent="0.4">
      <c r="B117" t="s">
        <v>101</v>
      </c>
      <c r="C117">
        <v>2030</v>
      </c>
      <c r="D117" s="23" t="e">
        <v>#VALUE!</v>
      </c>
      <c r="E117" s="23" t="e">
        <v>#VALUE!</v>
      </c>
      <c r="F117" s="23" t="e">
        <v>#VALUE!</v>
      </c>
      <c r="G117" s="23" t="e">
        <v>#VALUE!</v>
      </c>
      <c r="I117" s="23" t="e">
        <v>#VALUE!</v>
      </c>
    </row>
    <row r="118" spans="1:9" x14ac:dyDescent="0.4">
      <c r="B118" t="s">
        <v>102</v>
      </c>
      <c r="C118">
        <v>2035</v>
      </c>
      <c r="D118" s="23" t="e">
        <v>#VALUE!</v>
      </c>
      <c r="E118" s="23" t="e">
        <v>#VALUE!</v>
      </c>
      <c r="F118" s="23" t="e">
        <v>#VALUE!</v>
      </c>
      <c r="G118" s="23" t="e">
        <v>#VALUE!</v>
      </c>
      <c r="I118" s="23" t="e">
        <v>#VALUE!</v>
      </c>
    </row>
    <row r="119" spans="1:9" x14ac:dyDescent="0.4">
      <c r="B119" t="s">
        <v>103</v>
      </c>
      <c r="C119">
        <v>2040</v>
      </c>
      <c r="D119" s="23" t="e">
        <v>#VALUE!</v>
      </c>
      <c r="E119" s="23" t="e">
        <v>#VALUE!</v>
      </c>
      <c r="F119" s="23" t="e">
        <v>#VALUE!</v>
      </c>
      <c r="G119" s="23" t="e">
        <v>#VALUE!</v>
      </c>
      <c r="I119" s="23" t="e">
        <v>#VALUE!</v>
      </c>
    </row>
    <row r="120" spans="1:9" x14ac:dyDescent="0.4">
      <c r="B120" t="s">
        <v>104</v>
      </c>
      <c r="C120">
        <v>2045</v>
      </c>
      <c r="D120" s="23" t="e">
        <v>#VALUE!</v>
      </c>
      <c r="E120" s="23" t="e">
        <v>#VALUE!</v>
      </c>
      <c r="F120" s="23" t="e">
        <v>#VALUE!</v>
      </c>
      <c r="G120" s="23" t="e">
        <v>#VALUE!</v>
      </c>
      <c r="I120" s="23" t="e">
        <v>#VALUE!</v>
      </c>
    </row>
    <row r="122" spans="1:9" x14ac:dyDescent="0.4">
      <c r="A122" t="s">
        <v>74</v>
      </c>
      <c r="B122" s="24" t="s">
        <v>96</v>
      </c>
      <c r="C122" s="24">
        <v>2005</v>
      </c>
      <c r="D122" s="26" t="e">
        <f>世帯主率!C16</f>
        <v>#DIV/0!</v>
      </c>
      <c r="E122" s="26" t="e">
        <f>世帯主率!D16</f>
        <v>#DIV/0!</v>
      </c>
      <c r="F122" s="26" t="e">
        <f>世帯主率!E16</f>
        <v>#DIV/0!</v>
      </c>
      <c r="G122" s="26" t="e">
        <f>世帯主率!F16</f>
        <v>#DIV/0!</v>
      </c>
      <c r="H122" s="26" t="e">
        <f>世帯主率!G16</f>
        <v>#DIV/0!</v>
      </c>
      <c r="I122" s="26" t="e">
        <f>世帯主率!B16</f>
        <v>#DIV/0!</v>
      </c>
    </row>
    <row r="123" spans="1:9" x14ac:dyDescent="0.4">
      <c r="B123" s="24" t="s">
        <v>97</v>
      </c>
      <c r="C123" s="24">
        <v>2010</v>
      </c>
      <c r="D123" s="26" t="e">
        <f>世帯主率!C34</f>
        <v>#DIV/0!</v>
      </c>
      <c r="E123" s="26" t="e">
        <f>世帯主率!D34</f>
        <v>#DIV/0!</v>
      </c>
      <c r="F123" s="26" t="e">
        <f>世帯主率!E34</f>
        <v>#DIV/0!</v>
      </c>
      <c r="G123" s="26" t="e">
        <f>世帯主率!F34</f>
        <v>#DIV/0!</v>
      </c>
      <c r="H123" s="26" t="e">
        <f>世帯主率!G34</f>
        <v>#DIV/0!</v>
      </c>
      <c r="I123" s="26" t="e">
        <f>世帯主率!B34</f>
        <v>#DIV/0!</v>
      </c>
    </row>
    <row r="124" spans="1:9" ht="19.5" thickBot="1" x14ac:dyDescent="0.45">
      <c r="B124" s="25" t="s">
        <v>98</v>
      </c>
      <c r="C124" s="25">
        <v>2015</v>
      </c>
      <c r="D124" s="27" t="e">
        <f>世帯主率!C52</f>
        <v>#DIV/0!</v>
      </c>
      <c r="E124" s="27" t="e">
        <f>世帯主率!D52</f>
        <v>#DIV/0!</v>
      </c>
      <c r="F124" s="27" t="e">
        <f>世帯主率!E52</f>
        <v>#DIV/0!</v>
      </c>
      <c r="G124" s="27" t="e">
        <f>世帯主率!F52</f>
        <v>#DIV/0!</v>
      </c>
      <c r="H124" s="27" t="e">
        <f>世帯主率!G52</f>
        <v>#DIV/0!</v>
      </c>
      <c r="I124" s="27" t="e">
        <f>世帯主率!B52</f>
        <v>#DIV/0!</v>
      </c>
    </row>
    <row r="125" spans="1:9" x14ac:dyDescent="0.4">
      <c r="B125" t="s">
        <v>99</v>
      </c>
      <c r="C125">
        <v>2020</v>
      </c>
      <c r="D125" s="23" t="e">
        <f t="array" ref="D125:D130">TREND(D122:D124,C122:C124,C125:C130,TRUE)</f>
        <v>#VALUE!</v>
      </c>
      <c r="E125" s="23" t="e">
        <f t="array" ref="E125:E130">TREND(E122:E124,C122:C124,C125:C130,TRUE)</f>
        <v>#VALUE!</v>
      </c>
      <c r="F125" s="23" t="e">
        <f t="array" ref="F125:F130">TREND(F122:F124,C122:C124,C125:C130,TRUE)</f>
        <v>#VALUE!</v>
      </c>
      <c r="G125" s="23" t="e">
        <f t="array" ref="G125:G130">TREND(G122:G124,C122:C124,C125:C130,TRUE)</f>
        <v>#VALUE!</v>
      </c>
      <c r="H125" s="23" t="e" cm="1">
        <f t="array" ref="H125">TREND(H122:H124,C122:C124,C125:C130,TRUE)</f>
        <v>#VALUE!</v>
      </c>
      <c r="I125" s="23" t="e">
        <f t="array" ref="I125:I130">TREND(I122:I124,C122:C124,C125:C130,TRUE)</f>
        <v>#VALUE!</v>
      </c>
    </row>
    <row r="126" spans="1:9" x14ac:dyDescent="0.4">
      <c r="B126" t="s">
        <v>100</v>
      </c>
      <c r="C126">
        <v>2025</v>
      </c>
      <c r="D126" s="23" t="e">
        <v>#VALUE!</v>
      </c>
      <c r="E126" s="23" t="e">
        <v>#VALUE!</v>
      </c>
      <c r="F126" s="23" t="e">
        <v>#VALUE!</v>
      </c>
      <c r="G126" s="23" t="e">
        <v>#VALUE!</v>
      </c>
      <c r="I126" s="23" t="e">
        <v>#VALUE!</v>
      </c>
    </row>
    <row r="127" spans="1:9" x14ac:dyDescent="0.4">
      <c r="B127" t="s">
        <v>101</v>
      </c>
      <c r="C127">
        <v>2030</v>
      </c>
      <c r="D127" s="23" t="e">
        <v>#VALUE!</v>
      </c>
      <c r="E127" s="23" t="e">
        <v>#VALUE!</v>
      </c>
      <c r="F127" s="23" t="e">
        <v>#VALUE!</v>
      </c>
      <c r="G127" s="23" t="e">
        <v>#VALUE!</v>
      </c>
      <c r="I127" s="23" t="e">
        <v>#VALUE!</v>
      </c>
    </row>
    <row r="128" spans="1:9" x14ac:dyDescent="0.4">
      <c r="B128" t="s">
        <v>102</v>
      </c>
      <c r="C128">
        <v>2035</v>
      </c>
      <c r="D128" s="23" t="e">
        <v>#VALUE!</v>
      </c>
      <c r="E128" s="23" t="e">
        <v>#VALUE!</v>
      </c>
      <c r="F128" s="23" t="e">
        <v>#VALUE!</v>
      </c>
      <c r="G128" s="23" t="e">
        <v>#VALUE!</v>
      </c>
      <c r="I128" s="23" t="e">
        <v>#VALUE!</v>
      </c>
    </row>
    <row r="129" spans="1:9" x14ac:dyDescent="0.4">
      <c r="B129" t="s">
        <v>103</v>
      </c>
      <c r="C129">
        <v>2040</v>
      </c>
      <c r="D129" s="23" t="e">
        <v>#VALUE!</v>
      </c>
      <c r="E129" s="23" t="e">
        <v>#VALUE!</v>
      </c>
      <c r="F129" s="23" t="e">
        <v>#VALUE!</v>
      </c>
      <c r="G129" s="23" t="e">
        <v>#VALUE!</v>
      </c>
      <c r="I129" s="23" t="e">
        <v>#VALUE!</v>
      </c>
    </row>
    <row r="130" spans="1:9" x14ac:dyDescent="0.4">
      <c r="B130" t="s">
        <v>104</v>
      </c>
      <c r="C130">
        <v>2045</v>
      </c>
      <c r="D130" s="23" t="e">
        <v>#VALUE!</v>
      </c>
      <c r="E130" s="23" t="e">
        <v>#VALUE!</v>
      </c>
      <c r="F130" s="23" t="e">
        <v>#VALUE!</v>
      </c>
      <c r="G130" s="23" t="e">
        <v>#VALUE!</v>
      </c>
      <c r="I130" s="23" t="e">
        <v>#VALUE!</v>
      </c>
    </row>
    <row r="132" spans="1:9" x14ac:dyDescent="0.4">
      <c r="A132" t="s">
        <v>75</v>
      </c>
      <c r="B132" s="24" t="s">
        <v>96</v>
      </c>
      <c r="C132" s="24">
        <v>2005</v>
      </c>
      <c r="D132" s="26" t="e">
        <f>世帯主率!C17</f>
        <v>#DIV/0!</v>
      </c>
      <c r="E132" s="26" t="e">
        <f>世帯主率!D17</f>
        <v>#DIV/0!</v>
      </c>
      <c r="F132" s="26" t="e">
        <f>世帯主率!E17</f>
        <v>#DIV/0!</v>
      </c>
      <c r="G132" s="26" t="e">
        <f>世帯主率!F17</f>
        <v>#DIV/0!</v>
      </c>
      <c r="H132" s="26" t="e">
        <f>世帯主率!G17</f>
        <v>#DIV/0!</v>
      </c>
      <c r="I132" s="26" t="e">
        <f>世帯主率!B17</f>
        <v>#DIV/0!</v>
      </c>
    </row>
    <row r="133" spans="1:9" x14ac:dyDescent="0.4">
      <c r="B133" s="24" t="s">
        <v>97</v>
      </c>
      <c r="C133" s="24">
        <v>2010</v>
      </c>
      <c r="D133" s="26" t="e">
        <f>世帯主率!C35</f>
        <v>#DIV/0!</v>
      </c>
      <c r="E133" s="26" t="e">
        <f>世帯主率!D35</f>
        <v>#DIV/0!</v>
      </c>
      <c r="F133" s="26" t="e">
        <f>世帯主率!E35</f>
        <v>#DIV/0!</v>
      </c>
      <c r="G133" s="26" t="e">
        <f>世帯主率!F35</f>
        <v>#DIV/0!</v>
      </c>
      <c r="H133" s="26" t="e">
        <f>世帯主率!G35</f>
        <v>#DIV/0!</v>
      </c>
      <c r="I133" s="26" t="e">
        <f>世帯主率!B35</f>
        <v>#DIV/0!</v>
      </c>
    </row>
    <row r="134" spans="1:9" ht="19.5" thickBot="1" x14ac:dyDescent="0.45">
      <c r="B134" s="25" t="s">
        <v>98</v>
      </c>
      <c r="C134" s="25">
        <v>2015</v>
      </c>
      <c r="D134" s="27" t="e">
        <f>世帯主率!C53</f>
        <v>#DIV/0!</v>
      </c>
      <c r="E134" s="27" t="e">
        <f>世帯主率!D53</f>
        <v>#DIV/0!</v>
      </c>
      <c r="F134" s="27" t="e">
        <f>世帯主率!E53</f>
        <v>#DIV/0!</v>
      </c>
      <c r="G134" s="27" t="e">
        <f>世帯主率!F53</f>
        <v>#DIV/0!</v>
      </c>
      <c r="H134" s="27" t="e">
        <f>世帯主率!G53</f>
        <v>#DIV/0!</v>
      </c>
      <c r="I134" s="27" t="e">
        <f>世帯主率!B53</f>
        <v>#DIV/0!</v>
      </c>
    </row>
    <row r="135" spans="1:9" x14ac:dyDescent="0.4">
      <c r="B135" t="s">
        <v>99</v>
      </c>
      <c r="C135">
        <v>2020</v>
      </c>
      <c r="D135" s="23" t="e">
        <f t="array" ref="D135:D140">TREND(D132:D134,C132:C134,C135:C140,TRUE)</f>
        <v>#VALUE!</v>
      </c>
      <c r="E135" s="23" t="e">
        <f t="array" ref="E135:E140">TREND(E132:E134,C132:C134,C135:C140,TRUE)</f>
        <v>#VALUE!</v>
      </c>
      <c r="F135" s="23" t="e">
        <f t="array" ref="F135:F140">TREND(F132:F134,C132:C134,C135:C140,TRUE)</f>
        <v>#VALUE!</v>
      </c>
      <c r="G135" s="23" t="e">
        <f t="array" ref="G135:G140">TREND(G132:G134,C132:C134,C135:C140,TRUE)</f>
        <v>#VALUE!</v>
      </c>
      <c r="H135" s="23" t="e" cm="1">
        <f t="array" ref="H135">TREND(H132:H134,C132:C134,C135:C140,TRUE)</f>
        <v>#VALUE!</v>
      </c>
      <c r="I135" s="23" t="e">
        <f t="array" ref="I135:I140">TREND(I132:I134,C132:C134,C135:C140,TRUE)</f>
        <v>#VALUE!</v>
      </c>
    </row>
    <row r="136" spans="1:9" x14ac:dyDescent="0.4">
      <c r="B136" t="s">
        <v>100</v>
      </c>
      <c r="C136">
        <v>2025</v>
      </c>
      <c r="D136" s="23" t="e">
        <v>#VALUE!</v>
      </c>
      <c r="E136" s="23" t="e">
        <v>#VALUE!</v>
      </c>
      <c r="F136" s="23" t="e">
        <v>#VALUE!</v>
      </c>
      <c r="G136" s="23" t="e">
        <v>#VALUE!</v>
      </c>
      <c r="I136" s="23" t="e">
        <v>#VALUE!</v>
      </c>
    </row>
    <row r="137" spans="1:9" x14ac:dyDescent="0.4">
      <c r="B137" t="s">
        <v>101</v>
      </c>
      <c r="C137">
        <v>2030</v>
      </c>
      <c r="D137" s="23" t="e">
        <v>#VALUE!</v>
      </c>
      <c r="E137" s="23" t="e">
        <v>#VALUE!</v>
      </c>
      <c r="F137" s="23" t="e">
        <v>#VALUE!</v>
      </c>
      <c r="G137" s="23" t="e">
        <v>#VALUE!</v>
      </c>
      <c r="I137" s="23" t="e">
        <v>#VALUE!</v>
      </c>
    </row>
    <row r="138" spans="1:9" x14ac:dyDescent="0.4">
      <c r="B138" t="s">
        <v>102</v>
      </c>
      <c r="C138">
        <v>2035</v>
      </c>
      <c r="D138" s="23" t="e">
        <v>#VALUE!</v>
      </c>
      <c r="E138" s="23" t="e">
        <v>#VALUE!</v>
      </c>
      <c r="F138" s="23" t="e">
        <v>#VALUE!</v>
      </c>
      <c r="G138" s="23" t="e">
        <v>#VALUE!</v>
      </c>
      <c r="I138" s="23" t="e">
        <v>#VALUE!</v>
      </c>
    </row>
    <row r="139" spans="1:9" x14ac:dyDescent="0.4">
      <c r="B139" t="s">
        <v>103</v>
      </c>
      <c r="C139">
        <v>2040</v>
      </c>
      <c r="D139" s="23" t="e">
        <v>#VALUE!</v>
      </c>
      <c r="E139" s="23" t="e">
        <v>#VALUE!</v>
      </c>
      <c r="F139" s="23" t="e">
        <v>#VALUE!</v>
      </c>
      <c r="G139" s="23" t="e">
        <v>#VALUE!</v>
      </c>
      <c r="I139" s="23" t="e">
        <v>#VALUE!</v>
      </c>
    </row>
    <row r="140" spans="1:9" x14ac:dyDescent="0.4">
      <c r="B140" t="s">
        <v>104</v>
      </c>
      <c r="C140">
        <v>2045</v>
      </c>
      <c r="D140" s="23" t="e">
        <v>#VALUE!</v>
      </c>
      <c r="E140" s="23" t="e">
        <v>#VALUE!</v>
      </c>
      <c r="F140" s="23" t="e">
        <v>#VALUE!</v>
      </c>
      <c r="G140" s="23" t="e">
        <v>#VALUE!</v>
      </c>
      <c r="I140" s="23" t="e">
        <v>#VALUE!</v>
      </c>
    </row>
    <row r="142" spans="1:9" x14ac:dyDescent="0.4">
      <c r="A142" t="s">
        <v>92</v>
      </c>
      <c r="B142" s="24" t="s">
        <v>96</v>
      </c>
      <c r="C142" s="24">
        <v>2005</v>
      </c>
      <c r="D142" s="26" t="e">
        <f>世帯主率!C18</f>
        <v>#DIV/0!</v>
      </c>
      <c r="E142" s="26" t="e">
        <f>世帯主率!D18</f>
        <v>#DIV/0!</v>
      </c>
      <c r="F142" s="26" t="e">
        <f>世帯主率!E18</f>
        <v>#DIV/0!</v>
      </c>
      <c r="G142" s="26" t="e">
        <f>世帯主率!F18</f>
        <v>#DIV/0!</v>
      </c>
      <c r="H142" s="26" t="e">
        <f>世帯主率!G18</f>
        <v>#DIV/0!</v>
      </c>
      <c r="I142" s="26" t="e">
        <f>世帯主率!B18</f>
        <v>#DIV/0!</v>
      </c>
    </row>
    <row r="143" spans="1:9" x14ac:dyDescent="0.4">
      <c r="B143" s="24" t="s">
        <v>97</v>
      </c>
      <c r="C143" s="24">
        <v>2010</v>
      </c>
      <c r="D143" s="26" t="e">
        <f>世帯主率!C36</f>
        <v>#DIV/0!</v>
      </c>
      <c r="E143" s="26" t="e">
        <f>世帯主率!D36</f>
        <v>#DIV/0!</v>
      </c>
      <c r="F143" s="26" t="e">
        <f>世帯主率!E36</f>
        <v>#DIV/0!</v>
      </c>
      <c r="G143" s="26" t="e">
        <f>世帯主率!F36</f>
        <v>#DIV/0!</v>
      </c>
      <c r="H143" s="26" t="e">
        <f>世帯主率!G36</f>
        <v>#DIV/0!</v>
      </c>
      <c r="I143" s="26" t="e">
        <f>世帯主率!B36</f>
        <v>#DIV/0!</v>
      </c>
    </row>
    <row r="144" spans="1:9" ht="19.5" thickBot="1" x14ac:dyDescent="0.45">
      <c r="B144" s="25" t="s">
        <v>98</v>
      </c>
      <c r="C144" s="25">
        <v>2015</v>
      </c>
      <c r="D144" s="27" t="e">
        <f>世帯主率!C54</f>
        <v>#DIV/0!</v>
      </c>
      <c r="E144" s="27" t="e">
        <f>世帯主率!D54</f>
        <v>#DIV/0!</v>
      </c>
      <c r="F144" s="27" t="e">
        <f>世帯主率!E54</f>
        <v>#DIV/0!</v>
      </c>
      <c r="G144" s="27" t="e">
        <f>世帯主率!F54</f>
        <v>#DIV/0!</v>
      </c>
      <c r="H144" s="27" t="e">
        <f>世帯主率!G54</f>
        <v>#DIV/0!</v>
      </c>
      <c r="I144" s="27" t="e">
        <f>世帯主率!B54</f>
        <v>#DIV/0!</v>
      </c>
    </row>
    <row r="145" spans="2:9" x14ac:dyDescent="0.4">
      <c r="B145" t="s">
        <v>99</v>
      </c>
      <c r="C145">
        <v>2020</v>
      </c>
      <c r="D145" s="23" t="e">
        <f t="array" ref="D145:D150">TREND(D142:D144,C142:C144,C145:C150,TRUE)</f>
        <v>#VALUE!</v>
      </c>
      <c r="E145" s="23" t="e">
        <f t="array" ref="E145:E150">TREND(E142:E144,C142:C144,C145:C150,TRUE)</f>
        <v>#VALUE!</v>
      </c>
      <c r="F145" s="23" t="e">
        <f t="array" ref="F145:F150">TREND(F142:F144,C142:C144,C145:C150,TRUE)</f>
        <v>#VALUE!</v>
      </c>
      <c r="G145" s="23" t="e">
        <f t="array" ref="G145:G150">TREND(G142:G144,C142:C144,C145:C150,TRUE)</f>
        <v>#VALUE!</v>
      </c>
      <c r="H145" s="23" t="e" cm="1">
        <f t="array" ref="H145">TREND(H142:H144,C142:C144,C145:C150,TRUE)</f>
        <v>#VALUE!</v>
      </c>
      <c r="I145" s="23" t="e">
        <f t="array" ref="I145:I150">TREND(I142:I144,C142:C144,C145:C150,TRUE)</f>
        <v>#VALUE!</v>
      </c>
    </row>
    <row r="146" spans="2:9" x14ac:dyDescent="0.4">
      <c r="B146" t="s">
        <v>100</v>
      </c>
      <c r="C146">
        <v>2025</v>
      </c>
      <c r="D146" s="23" t="e">
        <v>#VALUE!</v>
      </c>
      <c r="E146" s="23" t="e">
        <v>#VALUE!</v>
      </c>
      <c r="F146" s="23" t="e">
        <v>#VALUE!</v>
      </c>
      <c r="G146" s="23" t="e">
        <v>#VALUE!</v>
      </c>
      <c r="I146" s="23" t="e">
        <v>#VALUE!</v>
      </c>
    </row>
    <row r="147" spans="2:9" x14ac:dyDescent="0.4">
      <c r="B147" t="s">
        <v>101</v>
      </c>
      <c r="C147">
        <v>2030</v>
      </c>
      <c r="D147" s="23" t="e">
        <v>#VALUE!</v>
      </c>
      <c r="E147" s="23" t="e">
        <v>#VALUE!</v>
      </c>
      <c r="F147" s="23" t="e">
        <v>#VALUE!</v>
      </c>
      <c r="G147" s="23" t="e">
        <v>#VALUE!</v>
      </c>
      <c r="I147" s="23" t="e">
        <v>#VALUE!</v>
      </c>
    </row>
    <row r="148" spans="2:9" x14ac:dyDescent="0.4">
      <c r="B148" t="s">
        <v>102</v>
      </c>
      <c r="C148">
        <v>2035</v>
      </c>
      <c r="D148" s="23" t="e">
        <v>#VALUE!</v>
      </c>
      <c r="E148" s="23" t="e">
        <v>#VALUE!</v>
      </c>
      <c r="F148" s="23" t="e">
        <v>#VALUE!</v>
      </c>
      <c r="G148" s="23" t="e">
        <v>#VALUE!</v>
      </c>
      <c r="I148" s="23" t="e">
        <v>#VALUE!</v>
      </c>
    </row>
    <row r="149" spans="2:9" x14ac:dyDescent="0.4">
      <c r="B149" t="s">
        <v>103</v>
      </c>
      <c r="C149">
        <v>2040</v>
      </c>
      <c r="D149" s="23" t="e">
        <v>#VALUE!</v>
      </c>
      <c r="E149" s="23" t="e">
        <v>#VALUE!</v>
      </c>
      <c r="F149" s="23" t="e">
        <v>#VALUE!</v>
      </c>
      <c r="G149" s="23" t="e">
        <v>#VALUE!</v>
      </c>
      <c r="I149" s="23" t="e">
        <v>#VALUE!</v>
      </c>
    </row>
    <row r="150" spans="2:9" x14ac:dyDescent="0.4">
      <c r="B150" t="s">
        <v>104</v>
      </c>
      <c r="C150">
        <v>2045</v>
      </c>
      <c r="D150" s="23" t="e">
        <v>#VALUE!</v>
      </c>
      <c r="E150" s="23" t="e">
        <v>#VALUE!</v>
      </c>
      <c r="F150" s="23" t="e">
        <v>#VALUE!</v>
      </c>
      <c r="G150" s="23" t="e">
        <v>#VALUE!</v>
      </c>
      <c r="I150" s="23" t="e">
        <v>#VALUE!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ED31F-A498-45F7-96E1-79CD6519138D}">
  <sheetPr codeName="Sheet6"/>
  <dimension ref="A1:G54"/>
  <sheetViews>
    <sheetView workbookViewId="0"/>
  </sheetViews>
  <sheetFormatPr defaultRowHeight="18.75" x14ac:dyDescent="0.4"/>
  <cols>
    <col min="1" max="3" width="9" style="20"/>
    <col min="4" max="4" width="9" style="20" customWidth="1"/>
    <col min="5" max="5" width="9" style="20"/>
    <col min="6" max="6" width="9" style="20" customWidth="1"/>
    <col min="7" max="16384" width="9" style="20"/>
  </cols>
  <sheetData>
    <row r="1" spans="1:7" x14ac:dyDescent="0.4">
      <c r="A1" s="18" t="str">
        <f>main!G10</f>
        <v>新潟市</v>
      </c>
      <c r="B1" s="19"/>
    </row>
    <row r="2" spans="1:7" x14ac:dyDescent="0.4">
      <c r="A2" s="21" t="s">
        <v>85</v>
      </c>
      <c r="B2" s="22" t="s">
        <v>60</v>
      </c>
      <c r="C2" s="22" t="s">
        <v>77</v>
      </c>
      <c r="D2" s="22" t="s">
        <v>78</v>
      </c>
      <c r="E2" s="22" t="s">
        <v>79</v>
      </c>
      <c r="F2" s="22" t="s">
        <v>80</v>
      </c>
      <c r="G2" s="22" t="s">
        <v>81</v>
      </c>
    </row>
    <row r="3" spans="1:7" x14ac:dyDescent="0.4">
      <c r="A3" s="22" t="s">
        <v>61</v>
      </c>
    </row>
    <row r="4" spans="1:7" x14ac:dyDescent="0.4">
      <c r="A4" s="22" t="s">
        <v>62</v>
      </c>
      <c r="B4" s="20" t="e">
        <f>世帯数不詳按分!B4/人口!K3</f>
        <v>#DIV/0!</v>
      </c>
      <c r="C4" s="20" t="e">
        <f>世帯数不詳按分!C4/人口!K3</f>
        <v>#DIV/0!</v>
      </c>
      <c r="D4" s="20" t="e">
        <f>世帯数不詳按分!D4/人口!K3</f>
        <v>#DIV/0!</v>
      </c>
      <c r="E4" s="20" t="e">
        <f>世帯数不詳按分!E4/人口!K3</f>
        <v>#DIV/0!</v>
      </c>
      <c r="F4" s="20" t="e">
        <f>世帯数不詳按分!F4/人口!K3</f>
        <v>#DIV/0!</v>
      </c>
      <c r="G4" s="20" t="e">
        <f>世帯数不詳按分!G4/人口!K3</f>
        <v>#DIV/0!</v>
      </c>
    </row>
    <row r="5" spans="1:7" x14ac:dyDescent="0.4">
      <c r="A5" s="22" t="s">
        <v>63</v>
      </c>
      <c r="B5" s="20" t="e">
        <f>世帯数不詳按分!B5/人口!K4</f>
        <v>#DIV/0!</v>
      </c>
      <c r="C5" s="20" t="e">
        <f>世帯数不詳按分!C5/人口!K4</f>
        <v>#DIV/0!</v>
      </c>
      <c r="D5" s="20" t="e">
        <f>世帯数不詳按分!D5/人口!K4</f>
        <v>#DIV/0!</v>
      </c>
      <c r="E5" s="20" t="e">
        <f>世帯数不詳按分!E5/人口!K4</f>
        <v>#DIV/0!</v>
      </c>
      <c r="F5" s="20" t="e">
        <f>世帯数不詳按分!F5/人口!K4</f>
        <v>#DIV/0!</v>
      </c>
      <c r="G5" s="20" t="e">
        <f>世帯数不詳按分!G5/人口!K4</f>
        <v>#DIV/0!</v>
      </c>
    </row>
    <row r="6" spans="1:7" x14ac:dyDescent="0.4">
      <c r="A6" s="22" t="s">
        <v>64</v>
      </c>
      <c r="B6" s="20" t="e">
        <f>世帯数不詳按分!B6/人口!K5</f>
        <v>#DIV/0!</v>
      </c>
      <c r="C6" s="20" t="e">
        <f>世帯数不詳按分!C6/人口!K5</f>
        <v>#DIV/0!</v>
      </c>
      <c r="D6" s="20" t="e">
        <f>世帯数不詳按分!D6/人口!K5</f>
        <v>#DIV/0!</v>
      </c>
      <c r="E6" s="20" t="e">
        <f>世帯数不詳按分!E6/人口!K5</f>
        <v>#DIV/0!</v>
      </c>
      <c r="F6" s="20" t="e">
        <f>世帯数不詳按分!F6/人口!K5</f>
        <v>#DIV/0!</v>
      </c>
      <c r="G6" s="20" t="e">
        <f>世帯数不詳按分!G6/人口!K5</f>
        <v>#DIV/0!</v>
      </c>
    </row>
    <row r="7" spans="1:7" x14ac:dyDescent="0.4">
      <c r="A7" s="22" t="s">
        <v>65</v>
      </c>
      <c r="B7" s="20" t="e">
        <f>世帯数不詳按分!B7/人口!K6</f>
        <v>#DIV/0!</v>
      </c>
      <c r="C7" s="20" t="e">
        <f>世帯数不詳按分!C7/人口!K6</f>
        <v>#DIV/0!</v>
      </c>
      <c r="D7" s="20" t="e">
        <f>世帯数不詳按分!D7/人口!K6</f>
        <v>#DIV/0!</v>
      </c>
      <c r="E7" s="20" t="e">
        <f>世帯数不詳按分!E7/人口!K6</f>
        <v>#DIV/0!</v>
      </c>
      <c r="F7" s="20" t="e">
        <f>世帯数不詳按分!F7/人口!K6</f>
        <v>#DIV/0!</v>
      </c>
      <c r="G7" s="20" t="e">
        <f>世帯数不詳按分!G7/人口!K6</f>
        <v>#DIV/0!</v>
      </c>
    </row>
    <row r="8" spans="1:7" x14ac:dyDescent="0.4">
      <c r="A8" s="22" t="s">
        <v>66</v>
      </c>
      <c r="B8" s="20" t="e">
        <f>世帯数不詳按分!B8/人口!K7</f>
        <v>#DIV/0!</v>
      </c>
      <c r="C8" s="20" t="e">
        <f>世帯数不詳按分!C8/人口!K7</f>
        <v>#DIV/0!</v>
      </c>
      <c r="D8" s="20" t="e">
        <f>世帯数不詳按分!D8/人口!K7</f>
        <v>#DIV/0!</v>
      </c>
      <c r="E8" s="20" t="e">
        <f>世帯数不詳按分!E8/人口!K7</f>
        <v>#DIV/0!</v>
      </c>
      <c r="F8" s="20" t="e">
        <f>世帯数不詳按分!F8/人口!K7</f>
        <v>#DIV/0!</v>
      </c>
      <c r="G8" s="20" t="e">
        <f>世帯数不詳按分!G8/人口!K7</f>
        <v>#DIV/0!</v>
      </c>
    </row>
    <row r="9" spans="1:7" x14ac:dyDescent="0.4">
      <c r="A9" s="22" t="s">
        <v>67</v>
      </c>
      <c r="B9" s="20" t="e">
        <f>世帯数不詳按分!B9/人口!K8</f>
        <v>#DIV/0!</v>
      </c>
      <c r="C9" s="20" t="e">
        <f>世帯数不詳按分!C9/人口!K8</f>
        <v>#DIV/0!</v>
      </c>
      <c r="D9" s="20" t="e">
        <f>世帯数不詳按分!D9/人口!K8</f>
        <v>#DIV/0!</v>
      </c>
      <c r="E9" s="20" t="e">
        <f>世帯数不詳按分!E9/人口!K8</f>
        <v>#DIV/0!</v>
      </c>
      <c r="F9" s="20" t="e">
        <f>世帯数不詳按分!F9/人口!K8</f>
        <v>#DIV/0!</v>
      </c>
      <c r="G9" s="20" t="e">
        <f>世帯数不詳按分!G9/人口!K8</f>
        <v>#DIV/0!</v>
      </c>
    </row>
    <row r="10" spans="1:7" x14ac:dyDescent="0.4">
      <c r="A10" s="22" t="s">
        <v>68</v>
      </c>
      <c r="B10" s="20" t="e">
        <f>世帯数不詳按分!B10/人口!K9</f>
        <v>#DIV/0!</v>
      </c>
      <c r="C10" s="20" t="e">
        <f>世帯数不詳按分!C10/人口!K9</f>
        <v>#DIV/0!</v>
      </c>
      <c r="D10" s="20" t="e">
        <f>世帯数不詳按分!D10/人口!K9</f>
        <v>#DIV/0!</v>
      </c>
      <c r="E10" s="20" t="e">
        <f>世帯数不詳按分!E10/人口!K9</f>
        <v>#DIV/0!</v>
      </c>
      <c r="F10" s="20" t="e">
        <f>世帯数不詳按分!F10/人口!K9</f>
        <v>#DIV/0!</v>
      </c>
      <c r="G10" s="20" t="e">
        <f>世帯数不詳按分!G10/人口!K9</f>
        <v>#DIV/0!</v>
      </c>
    </row>
    <row r="11" spans="1:7" x14ac:dyDescent="0.4">
      <c r="A11" s="22" t="s">
        <v>69</v>
      </c>
      <c r="B11" s="20" t="e">
        <f>世帯数不詳按分!B11/人口!K10</f>
        <v>#DIV/0!</v>
      </c>
      <c r="C11" s="20" t="e">
        <f>世帯数不詳按分!C11/人口!K10</f>
        <v>#DIV/0!</v>
      </c>
      <c r="D11" s="20" t="e">
        <f>世帯数不詳按分!D11/人口!K10</f>
        <v>#DIV/0!</v>
      </c>
      <c r="E11" s="20" t="e">
        <f>世帯数不詳按分!E11/人口!K10</f>
        <v>#DIV/0!</v>
      </c>
      <c r="F11" s="20" t="e">
        <f>世帯数不詳按分!F11/人口!K10</f>
        <v>#DIV/0!</v>
      </c>
      <c r="G11" s="20" t="e">
        <f>世帯数不詳按分!G11/人口!K10</f>
        <v>#DIV/0!</v>
      </c>
    </row>
    <row r="12" spans="1:7" x14ac:dyDescent="0.4">
      <c r="A12" s="22" t="s">
        <v>70</v>
      </c>
      <c r="B12" s="20" t="e">
        <f>世帯数不詳按分!B12/人口!K11</f>
        <v>#DIV/0!</v>
      </c>
      <c r="C12" s="20" t="e">
        <f>世帯数不詳按分!C12/人口!K11</f>
        <v>#DIV/0!</v>
      </c>
      <c r="D12" s="20" t="e">
        <f>世帯数不詳按分!D12/人口!K11</f>
        <v>#DIV/0!</v>
      </c>
      <c r="E12" s="20" t="e">
        <f>世帯数不詳按分!E12/人口!K11</f>
        <v>#DIV/0!</v>
      </c>
      <c r="F12" s="20" t="e">
        <f>世帯数不詳按分!F12/人口!K11</f>
        <v>#DIV/0!</v>
      </c>
      <c r="G12" s="20" t="e">
        <f>世帯数不詳按分!G12/人口!K11</f>
        <v>#DIV/0!</v>
      </c>
    </row>
    <row r="13" spans="1:7" x14ac:dyDescent="0.4">
      <c r="A13" s="22" t="s">
        <v>71</v>
      </c>
      <c r="B13" s="20" t="e">
        <f>世帯数不詳按分!B13/人口!K12</f>
        <v>#DIV/0!</v>
      </c>
      <c r="C13" s="20" t="e">
        <f>世帯数不詳按分!C13/人口!K12</f>
        <v>#DIV/0!</v>
      </c>
      <c r="D13" s="20" t="e">
        <f>世帯数不詳按分!D13/人口!K12</f>
        <v>#DIV/0!</v>
      </c>
      <c r="E13" s="20" t="e">
        <f>世帯数不詳按分!E13/人口!K12</f>
        <v>#DIV/0!</v>
      </c>
      <c r="F13" s="20" t="e">
        <f>世帯数不詳按分!F13/人口!K12</f>
        <v>#DIV/0!</v>
      </c>
      <c r="G13" s="20" t="e">
        <f>世帯数不詳按分!G13/人口!K12</f>
        <v>#DIV/0!</v>
      </c>
    </row>
    <row r="14" spans="1:7" x14ac:dyDescent="0.4">
      <c r="A14" s="22" t="s">
        <v>72</v>
      </c>
      <c r="B14" s="20" t="e">
        <f>世帯数不詳按分!B14/人口!K13</f>
        <v>#DIV/0!</v>
      </c>
      <c r="C14" s="20" t="e">
        <f>世帯数不詳按分!C14/人口!K13</f>
        <v>#DIV/0!</v>
      </c>
      <c r="D14" s="20" t="e">
        <f>世帯数不詳按分!D14/人口!K13</f>
        <v>#DIV/0!</v>
      </c>
      <c r="E14" s="20" t="e">
        <f>世帯数不詳按分!E14/人口!K13</f>
        <v>#DIV/0!</v>
      </c>
      <c r="F14" s="20" t="e">
        <f>世帯数不詳按分!F14/人口!K13</f>
        <v>#DIV/0!</v>
      </c>
      <c r="G14" s="20" t="e">
        <f>世帯数不詳按分!G14/人口!K13</f>
        <v>#DIV/0!</v>
      </c>
    </row>
    <row r="15" spans="1:7" x14ac:dyDescent="0.4">
      <c r="A15" s="22" t="s">
        <v>73</v>
      </c>
      <c r="B15" s="20" t="e">
        <f>世帯数不詳按分!B15/人口!K14</f>
        <v>#DIV/0!</v>
      </c>
      <c r="C15" s="20" t="e">
        <f>世帯数不詳按分!C15/人口!K14</f>
        <v>#DIV/0!</v>
      </c>
      <c r="D15" s="20" t="e">
        <f>世帯数不詳按分!D15/人口!K14</f>
        <v>#DIV/0!</v>
      </c>
      <c r="E15" s="20" t="e">
        <f>世帯数不詳按分!E15/人口!K14</f>
        <v>#DIV/0!</v>
      </c>
      <c r="F15" s="20" t="e">
        <f>世帯数不詳按分!F15/人口!K14</f>
        <v>#DIV/0!</v>
      </c>
      <c r="G15" s="20" t="e">
        <f>世帯数不詳按分!G15/人口!K14</f>
        <v>#DIV/0!</v>
      </c>
    </row>
    <row r="16" spans="1:7" x14ac:dyDescent="0.4">
      <c r="A16" s="22" t="s">
        <v>74</v>
      </c>
      <c r="B16" s="20" t="e">
        <f>世帯数不詳按分!B16/人口!K15</f>
        <v>#DIV/0!</v>
      </c>
      <c r="C16" s="20" t="e">
        <f>世帯数不詳按分!C16/人口!K15</f>
        <v>#DIV/0!</v>
      </c>
      <c r="D16" s="20" t="e">
        <f>世帯数不詳按分!D16/人口!K15</f>
        <v>#DIV/0!</v>
      </c>
      <c r="E16" s="20" t="e">
        <f>世帯数不詳按分!E16/人口!K15</f>
        <v>#DIV/0!</v>
      </c>
      <c r="F16" s="20" t="e">
        <f>世帯数不詳按分!F16/人口!K15</f>
        <v>#DIV/0!</v>
      </c>
      <c r="G16" s="20" t="e">
        <f>世帯数不詳按分!G16/人口!K15</f>
        <v>#DIV/0!</v>
      </c>
    </row>
    <row r="17" spans="1:7" x14ac:dyDescent="0.4">
      <c r="A17" s="22" t="s">
        <v>75</v>
      </c>
      <c r="B17" s="20" t="e">
        <f>世帯数不詳按分!B17/人口!K16</f>
        <v>#DIV/0!</v>
      </c>
      <c r="C17" s="20" t="e">
        <f>世帯数不詳按分!C17/人口!K16</f>
        <v>#DIV/0!</v>
      </c>
      <c r="D17" s="20" t="e">
        <f>世帯数不詳按分!D17/人口!K16</f>
        <v>#DIV/0!</v>
      </c>
      <c r="E17" s="20" t="e">
        <f>世帯数不詳按分!E17/人口!K16</f>
        <v>#DIV/0!</v>
      </c>
      <c r="F17" s="20" t="e">
        <f>世帯数不詳按分!F17/人口!K16</f>
        <v>#DIV/0!</v>
      </c>
      <c r="G17" s="20" t="e">
        <f>世帯数不詳按分!G17/人口!K16</f>
        <v>#DIV/0!</v>
      </c>
    </row>
    <row r="18" spans="1:7" x14ac:dyDescent="0.4">
      <c r="A18" s="22" t="s">
        <v>76</v>
      </c>
      <c r="B18" s="20" t="e">
        <f>世帯数不詳按分!B18/人口!K17</f>
        <v>#DIV/0!</v>
      </c>
      <c r="C18" s="20" t="e">
        <f>世帯数不詳按分!C18/人口!K17</f>
        <v>#DIV/0!</v>
      </c>
      <c r="D18" s="20" t="e">
        <f>世帯数不詳按分!D18/人口!K17</f>
        <v>#DIV/0!</v>
      </c>
      <c r="E18" s="20" t="e">
        <f>世帯数不詳按分!E18/人口!K17</f>
        <v>#DIV/0!</v>
      </c>
      <c r="F18" s="20" t="e">
        <f>世帯数不詳按分!F18/人口!K17</f>
        <v>#DIV/0!</v>
      </c>
      <c r="G18" s="20" t="e">
        <f>世帯数不詳按分!G18/人口!K17</f>
        <v>#DIV/0!</v>
      </c>
    </row>
    <row r="20" spans="1:7" x14ac:dyDescent="0.4">
      <c r="A20" s="21" t="s">
        <v>86</v>
      </c>
      <c r="B20" s="22" t="s">
        <v>60</v>
      </c>
      <c r="C20" s="22" t="s">
        <v>77</v>
      </c>
      <c r="D20" s="22" t="s">
        <v>78</v>
      </c>
      <c r="E20" s="22" t="s">
        <v>79</v>
      </c>
      <c r="F20" s="22" t="s">
        <v>80</v>
      </c>
      <c r="G20" s="22" t="s">
        <v>81</v>
      </c>
    </row>
    <row r="21" spans="1:7" x14ac:dyDescent="0.4">
      <c r="A21" s="22" t="s">
        <v>61</v>
      </c>
    </row>
    <row r="22" spans="1:7" x14ac:dyDescent="0.4">
      <c r="A22" s="22" t="s">
        <v>62</v>
      </c>
      <c r="B22" s="20" t="e">
        <f>世帯数不詳按分!B24/人口!K23</f>
        <v>#DIV/0!</v>
      </c>
      <c r="C22" s="20" t="e">
        <f>世帯数不詳按分!C24/人口!K23</f>
        <v>#DIV/0!</v>
      </c>
      <c r="D22" s="20" t="e">
        <f>世帯数不詳按分!D24/人口!K23</f>
        <v>#DIV/0!</v>
      </c>
      <c r="E22" s="20" t="e">
        <f>世帯数不詳按分!E24/人口!K23</f>
        <v>#DIV/0!</v>
      </c>
      <c r="F22" s="20" t="e">
        <f>世帯数不詳按分!F24/人口!K23</f>
        <v>#DIV/0!</v>
      </c>
      <c r="G22" s="20" t="e">
        <f>世帯数不詳按分!G24/人口!K23</f>
        <v>#DIV/0!</v>
      </c>
    </row>
    <row r="23" spans="1:7" x14ac:dyDescent="0.4">
      <c r="A23" s="22" t="s">
        <v>63</v>
      </c>
      <c r="B23" s="20" t="e">
        <f>世帯数不詳按分!B25/人口!K24</f>
        <v>#DIV/0!</v>
      </c>
      <c r="C23" s="20" t="e">
        <f>世帯数不詳按分!C25/人口!K24</f>
        <v>#DIV/0!</v>
      </c>
      <c r="D23" s="20" t="e">
        <f>世帯数不詳按分!D25/人口!K24</f>
        <v>#DIV/0!</v>
      </c>
      <c r="E23" s="20" t="e">
        <f>世帯数不詳按分!E25/人口!K24</f>
        <v>#DIV/0!</v>
      </c>
      <c r="F23" s="20" t="e">
        <f>世帯数不詳按分!F25/人口!K24</f>
        <v>#DIV/0!</v>
      </c>
      <c r="G23" s="20" t="e">
        <f>世帯数不詳按分!G25/人口!K24</f>
        <v>#DIV/0!</v>
      </c>
    </row>
    <row r="24" spans="1:7" x14ac:dyDescent="0.4">
      <c r="A24" s="22" t="s">
        <v>64</v>
      </c>
      <c r="B24" s="20" t="e">
        <f>世帯数不詳按分!B26/人口!K25</f>
        <v>#DIV/0!</v>
      </c>
      <c r="C24" s="20" t="e">
        <f>世帯数不詳按分!C26/人口!K25</f>
        <v>#DIV/0!</v>
      </c>
      <c r="D24" s="20" t="e">
        <f>世帯数不詳按分!D26/人口!K25</f>
        <v>#DIV/0!</v>
      </c>
      <c r="E24" s="20" t="e">
        <f>世帯数不詳按分!E26/人口!K25</f>
        <v>#DIV/0!</v>
      </c>
      <c r="F24" s="20" t="e">
        <f>世帯数不詳按分!F26/人口!K25</f>
        <v>#DIV/0!</v>
      </c>
      <c r="G24" s="20" t="e">
        <f>世帯数不詳按分!G26/人口!K25</f>
        <v>#DIV/0!</v>
      </c>
    </row>
    <row r="25" spans="1:7" x14ac:dyDescent="0.4">
      <c r="A25" s="22" t="s">
        <v>65</v>
      </c>
      <c r="B25" s="20" t="e">
        <f>世帯数不詳按分!B27/人口!K26</f>
        <v>#DIV/0!</v>
      </c>
      <c r="C25" s="20" t="e">
        <f>世帯数不詳按分!C27/人口!K26</f>
        <v>#DIV/0!</v>
      </c>
      <c r="D25" s="20" t="e">
        <f>世帯数不詳按分!D27/人口!K26</f>
        <v>#DIV/0!</v>
      </c>
      <c r="E25" s="20" t="e">
        <f>世帯数不詳按分!E27/人口!K26</f>
        <v>#DIV/0!</v>
      </c>
      <c r="F25" s="20" t="e">
        <f>世帯数不詳按分!F27/人口!K26</f>
        <v>#DIV/0!</v>
      </c>
      <c r="G25" s="20" t="e">
        <f>世帯数不詳按分!G27/人口!K26</f>
        <v>#DIV/0!</v>
      </c>
    </row>
    <row r="26" spans="1:7" x14ac:dyDescent="0.4">
      <c r="A26" s="22" t="s">
        <v>66</v>
      </c>
      <c r="B26" s="20" t="e">
        <f>世帯数不詳按分!B28/人口!K27</f>
        <v>#DIV/0!</v>
      </c>
      <c r="C26" s="20" t="e">
        <f>世帯数不詳按分!C28/人口!K27</f>
        <v>#DIV/0!</v>
      </c>
      <c r="D26" s="20" t="e">
        <f>世帯数不詳按分!D28/人口!K27</f>
        <v>#DIV/0!</v>
      </c>
      <c r="E26" s="20" t="e">
        <f>世帯数不詳按分!E28/人口!K27</f>
        <v>#DIV/0!</v>
      </c>
      <c r="F26" s="20" t="e">
        <f>世帯数不詳按分!F28/人口!K27</f>
        <v>#DIV/0!</v>
      </c>
      <c r="G26" s="20" t="e">
        <f>世帯数不詳按分!G28/人口!K27</f>
        <v>#DIV/0!</v>
      </c>
    </row>
    <row r="27" spans="1:7" x14ac:dyDescent="0.4">
      <c r="A27" s="22" t="s">
        <v>67</v>
      </c>
      <c r="B27" s="20" t="e">
        <f>世帯数不詳按分!B29/人口!K28</f>
        <v>#DIV/0!</v>
      </c>
      <c r="C27" s="20" t="e">
        <f>世帯数不詳按分!C29/人口!K28</f>
        <v>#DIV/0!</v>
      </c>
      <c r="D27" s="20" t="e">
        <f>世帯数不詳按分!D29/人口!K28</f>
        <v>#DIV/0!</v>
      </c>
      <c r="E27" s="20" t="e">
        <f>世帯数不詳按分!E29/人口!K28</f>
        <v>#DIV/0!</v>
      </c>
      <c r="F27" s="20" t="e">
        <f>世帯数不詳按分!F29/人口!K28</f>
        <v>#DIV/0!</v>
      </c>
      <c r="G27" s="20" t="e">
        <f>世帯数不詳按分!G29/人口!K28</f>
        <v>#DIV/0!</v>
      </c>
    </row>
    <row r="28" spans="1:7" x14ac:dyDescent="0.4">
      <c r="A28" s="22" t="s">
        <v>68</v>
      </c>
      <c r="B28" s="20" t="e">
        <f>世帯数不詳按分!B30/人口!K29</f>
        <v>#DIV/0!</v>
      </c>
      <c r="C28" s="20" t="e">
        <f>世帯数不詳按分!C30/人口!K29</f>
        <v>#DIV/0!</v>
      </c>
      <c r="D28" s="20" t="e">
        <f>世帯数不詳按分!D30/人口!K29</f>
        <v>#DIV/0!</v>
      </c>
      <c r="E28" s="20" t="e">
        <f>世帯数不詳按分!E30/人口!K29</f>
        <v>#DIV/0!</v>
      </c>
      <c r="F28" s="20" t="e">
        <f>世帯数不詳按分!F30/人口!K29</f>
        <v>#DIV/0!</v>
      </c>
      <c r="G28" s="20" t="e">
        <f>世帯数不詳按分!G30/人口!K29</f>
        <v>#DIV/0!</v>
      </c>
    </row>
    <row r="29" spans="1:7" x14ac:dyDescent="0.4">
      <c r="A29" s="22" t="s">
        <v>69</v>
      </c>
      <c r="B29" s="20" t="e">
        <f>世帯数不詳按分!B31/人口!K30</f>
        <v>#DIV/0!</v>
      </c>
      <c r="C29" s="20" t="e">
        <f>世帯数不詳按分!C31/人口!K30</f>
        <v>#DIV/0!</v>
      </c>
      <c r="D29" s="20" t="e">
        <f>世帯数不詳按分!D31/人口!K30</f>
        <v>#DIV/0!</v>
      </c>
      <c r="E29" s="20" t="e">
        <f>世帯数不詳按分!E31/人口!K30</f>
        <v>#DIV/0!</v>
      </c>
      <c r="F29" s="20" t="e">
        <f>世帯数不詳按分!F31/人口!K30</f>
        <v>#DIV/0!</v>
      </c>
      <c r="G29" s="20" t="e">
        <f>世帯数不詳按分!G31/人口!K30</f>
        <v>#DIV/0!</v>
      </c>
    </row>
    <row r="30" spans="1:7" x14ac:dyDescent="0.4">
      <c r="A30" s="22" t="s">
        <v>70</v>
      </c>
      <c r="B30" s="20" t="e">
        <f>世帯数不詳按分!B32/人口!K31</f>
        <v>#DIV/0!</v>
      </c>
      <c r="C30" s="20" t="e">
        <f>世帯数不詳按分!C32/人口!K31</f>
        <v>#DIV/0!</v>
      </c>
      <c r="D30" s="20" t="e">
        <f>世帯数不詳按分!D32/人口!K31</f>
        <v>#DIV/0!</v>
      </c>
      <c r="E30" s="20" t="e">
        <f>世帯数不詳按分!E32/人口!K31</f>
        <v>#DIV/0!</v>
      </c>
      <c r="F30" s="20" t="e">
        <f>世帯数不詳按分!F32/人口!K31</f>
        <v>#DIV/0!</v>
      </c>
      <c r="G30" s="20" t="e">
        <f>世帯数不詳按分!G32/人口!K31</f>
        <v>#DIV/0!</v>
      </c>
    </row>
    <row r="31" spans="1:7" x14ac:dyDescent="0.4">
      <c r="A31" s="22" t="s">
        <v>71</v>
      </c>
      <c r="B31" s="20" t="e">
        <f>世帯数不詳按分!B33/人口!K32</f>
        <v>#DIV/0!</v>
      </c>
      <c r="C31" s="20" t="e">
        <f>世帯数不詳按分!C33/人口!K32</f>
        <v>#DIV/0!</v>
      </c>
      <c r="D31" s="20" t="e">
        <f>世帯数不詳按分!D33/人口!K32</f>
        <v>#DIV/0!</v>
      </c>
      <c r="E31" s="20" t="e">
        <f>世帯数不詳按分!E33/人口!K32</f>
        <v>#DIV/0!</v>
      </c>
      <c r="F31" s="20" t="e">
        <f>世帯数不詳按分!F33/人口!K32</f>
        <v>#DIV/0!</v>
      </c>
      <c r="G31" s="20" t="e">
        <f>世帯数不詳按分!G33/人口!K32</f>
        <v>#DIV/0!</v>
      </c>
    </row>
    <row r="32" spans="1:7" x14ac:dyDescent="0.4">
      <c r="A32" s="22" t="s">
        <v>72</v>
      </c>
      <c r="B32" s="20" t="e">
        <f>世帯数不詳按分!B34/人口!K33</f>
        <v>#DIV/0!</v>
      </c>
      <c r="C32" s="20" t="e">
        <f>世帯数不詳按分!C34/人口!K33</f>
        <v>#DIV/0!</v>
      </c>
      <c r="D32" s="20" t="e">
        <f>世帯数不詳按分!D34/人口!K33</f>
        <v>#DIV/0!</v>
      </c>
      <c r="E32" s="20" t="e">
        <f>世帯数不詳按分!E34/人口!K33</f>
        <v>#DIV/0!</v>
      </c>
      <c r="F32" s="20" t="e">
        <f>世帯数不詳按分!F34/人口!K33</f>
        <v>#DIV/0!</v>
      </c>
      <c r="G32" s="20" t="e">
        <f>世帯数不詳按分!G34/人口!K33</f>
        <v>#DIV/0!</v>
      </c>
    </row>
    <row r="33" spans="1:7" x14ac:dyDescent="0.4">
      <c r="A33" s="22" t="s">
        <v>73</v>
      </c>
      <c r="B33" s="20" t="e">
        <f>世帯数不詳按分!B35/人口!K34</f>
        <v>#DIV/0!</v>
      </c>
      <c r="C33" s="20" t="e">
        <f>世帯数不詳按分!C35/人口!K34</f>
        <v>#DIV/0!</v>
      </c>
      <c r="D33" s="20" t="e">
        <f>世帯数不詳按分!D35/人口!K34</f>
        <v>#DIV/0!</v>
      </c>
      <c r="E33" s="20" t="e">
        <f>世帯数不詳按分!E35/人口!K34</f>
        <v>#DIV/0!</v>
      </c>
      <c r="F33" s="20" t="e">
        <f>世帯数不詳按分!F35/人口!K34</f>
        <v>#DIV/0!</v>
      </c>
      <c r="G33" s="20" t="e">
        <f>世帯数不詳按分!G35/人口!K34</f>
        <v>#DIV/0!</v>
      </c>
    </row>
    <row r="34" spans="1:7" x14ac:dyDescent="0.4">
      <c r="A34" s="22" t="s">
        <v>74</v>
      </c>
      <c r="B34" s="20" t="e">
        <f>世帯数不詳按分!B36/人口!K35</f>
        <v>#DIV/0!</v>
      </c>
      <c r="C34" s="20" t="e">
        <f>世帯数不詳按分!C36/人口!K35</f>
        <v>#DIV/0!</v>
      </c>
      <c r="D34" s="20" t="e">
        <f>世帯数不詳按分!D36/人口!K35</f>
        <v>#DIV/0!</v>
      </c>
      <c r="E34" s="20" t="e">
        <f>世帯数不詳按分!E36/人口!K35</f>
        <v>#DIV/0!</v>
      </c>
      <c r="F34" s="20" t="e">
        <f>世帯数不詳按分!F36/人口!K35</f>
        <v>#DIV/0!</v>
      </c>
      <c r="G34" s="20" t="e">
        <f>世帯数不詳按分!G36/人口!K35</f>
        <v>#DIV/0!</v>
      </c>
    </row>
    <row r="35" spans="1:7" x14ac:dyDescent="0.4">
      <c r="A35" s="22" t="s">
        <v>75</v>
      </c>
      <c r="B35" s="20" t="e">
        <f>世帯数不詳按分!B37/人口!K36</f>
        <v>#DIV/0!</v>
      </c>
      <c r="C35" s="20" t="e">
        <f>世帯数不詳按分!C37/人口!K36</f>
        <v>#DIV/0!</v>
      </c>
      <c r="D35" s="20" t="e">
        <f>世帯数不詳按分!D37/人口!K36</f>
        <v>#DIV/0!</v>
      </c>
      <c r="E35" s="20" t="e">
        <f>世帯数不詳按分!E37/人口!K36</f>
        <v>#DIV/0!</v>
      </c>
      <c r="F35" s="20" t="e">
        <f>世帯数不詳按分!F37/人口!K36</f>
        <v>#DIV/0!</v>
      </c>
      <c r="G35" s="20" t="e">
        <f>世帯数不詳按分!G37/人口!K36</f>
        <v>#DIV/0!</v>
      </c>
    </row>
    <row r="36" spans="1:7" x14ac:dyDescent="0.4">
      <c r="A36" s="22" t="s">
        <v>76</v>
      </c>
      <c r="B36" s="20" t="e">
        <f>世帯数不詳按分!B38/人口!K37</f>
        <v>#DIV/0!</v>
      </c>
      <c r="C36" s="20" t="e">
        <f>世帯数不詳按分!C38/人口!K37</f>
        <v>#DIV/0!</v>
      </c>
      <c r="D36" s="20" t="e">
        <f>世帯数不詳按分!D38/人口!K37</f>
        <v>#DIV/0!</v>
      </c>
      <c r="E36" s="20" t="e">
        <f>世帯数不詳按分!E38/人口!K37</f>
        <v>#DIV/0!</v>
      </c>
      <c r="F36" s="20" t="e">
        <f>世帯数不詳按分!F38/人口!K37</f>
        <v>#DIV/0!</v>
      </c>
      <c r="G36" s="20" t="e">
        <f>世帯数不詳按分!G38/人口!K37</f>
        <v>#DIV/0!</v>
      </c>
    </row>
    <row r="38" spans="1:7" x14ac:dyDescent="0.4">
      <c r="A38" s="21" t="s">
        <v>87</v>
      </c>
      <c r="B38" s="22" t="s">
        <v>60</v>
      </c>
      <c r="C38" s="22" t="s">
        <v>77</v>
      </c>
      <c r="D38" s="22" t="s">
        <v>78</v>
      </c>
      <c r="E38" s="22" t="s">
        <v>79</v>
      </c>
      <c r="F38" s="22" t="s">
        <v>80</v>
      </c>
      <c r="G38" s="22" t="s">
        <v>81</v>
      </c>
    </row>
    <row r="39" spans="1:7" x14ac:dyDescent="0.4">
      <c r="A39" s="22" t="s">
        <v>61</v>
      </c>
    </row>
    <row r="40" spans="1:7" x14ac:dyDescent="0.4">
      <c r="A40" s="22" t="s">
        <v>62</v>
      </c>
      <c r="B40" s="20" t="e">
        <f>世帯数不詳按分!B44/人口!K43</f>
        <v>#DIV/0!</v>
      </c>
      <c r="C40" s="20" t="e">
        <f>世帯数不詳按分!C44/人口!K43</f>
        <v>#DIV/0!</v>
      </c>
      <c r="D40" s="20" t="e">
        <f>世帯数不詳按分!D44/人口!K43</f>
        <v>#DIV/0!</v>
      </c>
      <c r="E40" s="20" t="e">
        <f>世帯数不詳按分!E44/人口!K43</f>
        <v>#DIV/0!</v>
      </c>
      <c r="F40" s="20" t="e">
        <f>世帯数不詳按分!F44/人口!K43</f>
        <v>#DIV/0!</v>
      </c>
      <c r="G40" s="20" t="e">
        <f>世帯数不詳按分!G44/人口!K43</f>
        <v>#DIV/0!</v>
      </c>
    </row>
    <row r="41" spans="1:7" x14ac:dyDescent="0.4">
      <c r="A41" s="22" t="s">
        <v>63</v>
      </c>
      <c r="B41" s="20" t="e">
        <f>世帯数不詳按分!B45/人口!K44</f>
        <v>#DIV/0!</v>
      </c>
      <c r="C41" s="20" t="e">
        <f>世帯数不詳按分!C45/人口!K44</f>
        <v>#DIV/0!</v>
      </c>
      <c r="D41" s="20" t="e">
        <f>世帯数不詳按分!D45/人口!K44</f>
        <v>#DIV/0!</v>
      </c>
      <c r="E41" s="20" t="e">
        <f>世帯数不詳按分!E45/人口!K44</f>
        <v>#DIV/0!</v>
      </c>
      <c r="F41" s="20" t="e">
        <f>世帯数不詳按分!F45/人口!K44</f>
        <v>#DIV/0!</v>
      </c>
      <c r="G41" s="20" t="e">
        <f>世帯数不詳按分!G45/人口!K44</f>
        <v>#DIV/0!</v>
      </c>
    </row>
    <row r="42" spans="1:7" x14ac:dyDescent="0.4">
      <c r="A42" s="22" t="s">
        <v>64</v>
      </c>
      <c r="B42" s="20" t="e">
        <f>世帯数不詳按分!B46/人口!K45</f>
        <v>#DIV/0!</v>
      </c>
      <c r="C42" s="20" t="e">
        <f>世帯数不詳按分!C46/人口!K45</f>
        <v>#DIV/0!</v>
      </c>
      <c r="D42" s="20" t="e">
        <f>世帯数不詳按分!D46/人口!K45</f>
        <v>#DIV/0!</v>
      </c>
      <c r="E42" s="20" t="e">
        <f>世帯数不詳按分!E46/人口!K45</f>
        <v>#DIV/0!</v>
      </c>
      <c r="F42" s="20" t="e">
        <f>世帯数不詳按分!F46/人口!K45</f>
        <v>#DIV/0!</v>
      </c>
      <c r="G42" s="20" t="e">
        <f>世帯数不詳按分!G46/人口!K45</f>
        <v>#DIV/0!</v>
      </c>
    </row>
    <row r="43" spans="1:7" x14ac:dyDescent="0.4">
      <c r="A43" s="22" t="s">
        <v>65</v>
      </c>
      <c r="B43" s="20" t="e">
        <f>世帯数不詳按分!B47/人口!K46</f>
        <v>#DIV/0!</v>
      </c>
      <c r="C43" s="20" t="e">
        <f>世帯数不詳按分!C47/人口!K46</f>
        <v>#DIV/0!</v>
      </c>
      <c r="D43" s="20" t="e">
        <f>世帯数不詳按分!D47/人口!K46</f>
        <v>#DIV/0!</v>
      </c>
      <c r="E43" s="20" t="e">
        <f>世帯数不詳按分!E47/人口!K46</f>
        <v>#DIV/0!</v>
      </c>
      <c r="F43" s="20" t="e">
        <f>世帯数不詳按分!F47/人口!K46</f>
        <v>#DIV/0!</v>
      </c>
      <c r="G43" s="20" t="e">
        <f>世帯数不詳按分!G47/人口!K46</f>
        <v>#DIV/0!</v>
      </c>
    </row>
    <row r="44" spans="1:7" x14ac:dyDescent="0.4">
      <c r="A44" s="22" t="s">
        <v>66</v>
      </c>
      <c r="B44" s="20" t="e">
        <f>世帯数不詳按分!B48/人口!K47</f>
        <v>#DIV/0!</v>
      </c>
      <c r="C44" s="20" t="e">
        <f>世帯数不詳按分!C48/人口!K47</f>
        <v>#DIV/0!</v>
      </c>
      <c r="D44" s="20" t="e">
        <f>世帯数不詳按分!D48/人口!K47</f>
        <v>#DIV/0!</v>
      </c>
      <c r="E44" s="20" t="e">
        <f>世帯数不詳按分!E48/人口!K47</f>
        <v>#DIV/0!</v>
      </c>
      <c r="F44" s="20" t="e">
        <f>世帯数不詳按分!F48/人口!K47</f>
        <v>#DIV/0!</v>
      </c>
      <c r="G44" s="20" t="e">
        <f>世帯数不詳按分!G48/人口!K47</f>
        <v>#DIV/0!</v>
      </c>
    </row>
    <row r="45" spans="1:7" x14ac:dyDescent="0.4">
      <c r="A45" s="22" t="s">
        <v>67</v>
      </c>
      <c r="B45" s="20" t="e">
        <f>世帯数不詳按分!B49/人口!K48</f>
        <v>#DIV/0!</v>
      </c>
      <c r="C45" s="20" t="e">
        <f>世帯数不詳按分!C49/人口!K48</f>
        <v>#DIV/0!</v>
      </c>
      <c r="D45" s="20" t="e">
        <f>世帯数不詳按分!D49/人口!K48</f>
        <v>#DIV/0!</v>
      </c>
      <c r="E45" s="20" t="e">
        <f>世帯数不詳按分!E49/人口!K48</f>
        <v>#DIV/0!</v>
      </c>
      <c r="F45" s="20" t="e">
        <f>世帯数不詳按分!F49/人口!K48</f>
        <v>#DIV/0!</v>
      </c>
      <c r="G45" s="20" t="e">
        <f>世帯数不詳按分!G49/人口!K48</f>
        <v>#DIV/0!</v>
      </c>
    </row>
    <row r="46" spans="1:7" x14ac:dyDescent="0.4">
      <c r="A46" s="22" t="s">
        <v>68</v>
      </c>
      <c r="B46" s="20" t="e">
        <f>世帯数不詳按分!B50/人口!K49</f>
        <v>#DIV/0!</v>
      </c>
      <c r="C46" s="20" t="e">
        <f>世帯数不詳按分!C50/人口!K49</f>
        <v>#DIV/0!</v>
      </c>
      <c r="D46" s="20" t="e">
        <f>世帯数不詳按分!D50/人口!K49</f>
        <v>#DIV/0!</v>
      </c>
      <c r="E46" s="20" t="e">
        <f>世帯数不詳按分!E50/人口!K49</f>
        <v>#DIV/0!</v>
      </c>
      <c r="F46" s="20" t="e">
        <f>世帯数不詳按分!F50/人口!K49</f>
        <v>#DIV/0!</v>
      </c>
      <c r="G46" s="20" t="e">
        <f>世帯数不詳按分!G50/人口!K49</f>
        <v>#DIV/0!</v>
      </c>
    </row>
    <row r="47" spans="1:7" x14ac:dyDescent="0.4">
      <c r="A47" s="22" t="s">
        <v>69</v>
      </c>
      <c r="B47" s="20" t="e">
        <f>世帯数不詳按分!B51/人口!K50</f>
        <v>#DIV/0!</v>
      </c>
      <c r="C47" s="20" t="e">
        <f>世帯数不詳按分!C51/人口!K50</f>
        <v>#DIV/0!</v>
      </c>
      <c r="D47" s="20" t="e">
        <f>世帯数不詳按分!D51/人口!K50</f>
        <v>#DIV/0!</v>
      </c>
      <c r="E47" s="20" t="e">
        <f>世帯数不詳按分!E51/人口!K50</f>
        <v>#DIV/0!</v>
      </c>
      <c r="F47" s="20" t="e">
        <f>世帯数不詳按分!F51/人口!K50</f>
        <v>#DIV/0!</v>
      </c>
      <c r="G47" s="20" t="e">
        <f>世帯数不詳按分!G51/人口!K50</f>
        <v>#DIV/0!</v>
      </c>
    </row>
    <row r="48" spans="1:7" x14ac:dyDescent="0.4">
      <c r="A48" s="22" t="s">
        <v>70</v>
      </c>
      <c r="B48" s="20" t="e">
        <f>世帯数不詳按分!B52/人口!K51</f>
        <v>#DIV/0!</v>
      </c>
      <c r="C48" s="20" t="e">
        <f>世帯数不詳按分!C52/人口!K51</f>
        <v>#DIV/0!</v>
      </c>
      <c r="D48" s="20" t="e">
        <f>世帯数不詳按分!D52/人口!K51</f>
        <v>#DIV/0!</v>
      </c>
      <c r="E48" s="20" t="e">
        <f>世帯数不詳按分!E52/人口!K51</f>
        <v>#DIV/0!</v>
      </c>
      <c r="F48" s="20" t="e">
        <f>世帯数不詳按分!F52/人口!K51</f>
        <v>#DIV/0!</v>
      </c>
      <c r="G48" s="20" t="e">
        <f>世帯数不詳按分!G52/人口!K51</f>
        <v>#DIV/0!</v>
      </c>
    </row>
    <row r="49" spans="1:7" x14ac:dyDescent="0.4">
      <c r="A49" s="22" t="s">
        <v>71</v>
      </c>
      <c r="B49" s="20" t="e">
        <f>世帯数不詳按分!B53/人口!K52</f>
        <v>#DIV/0!</v>
      </c>
      <c r="C49" s="20" t="e">
        <f>世帯数不詳按分!C53/人口!K52</f>
        <v>#DIV/0!</v>
      </c>
      <c r="D49" s="20" t="e">
        <f>世帯数不詳按分!D53/人口!K52</f>
        <v>#DIV/0!</v>
      </c>
      <c r="E49" s="20" t="e">
        <f>世帯数不詳按分!E53/人口!K52</f>
        <v>#DIV/0!</v>
      </c>
      <c r="F49" s="20" t="e">
        <f>世帯数不詳按分!F53/人口!K52</f>
        <v>#DIV/0!</v>
      </c>
      <c r="G49" s="20" t="e">
        <f>世帯数不詳按分!G53/人口!K52</f>
        <v>#DIV/0!</v>
      </c>
    </row>
    <row r="50" spans="1:7" x14ac:dyDescent="0.4">
      <c r="A50" s="22" t="s">
        <v>72</v>
      </c>
      <c r="B50" s="20" t="e">
        <f>世帯数不詳按分!B54/人口!K53</f>
        <v>#DIV/0!</v>
      </c>
      <c r="C50" s="20" t="e">
        <f>世帯数不詳按分!C54/人口!K53</f>
        <v>#DIV/0!</v>
      </c>
      <c r="D50" s="20" t="e">
        <f>世帯数不詳按分!D54/人口!K53</f>
        <v>#DIV/0!</v>
      </c>
      <c r="E50" s="20" t="e">
        <f>世帯数不詳按分!E54/人口!K53</f>
        <v>#DIV/0!</v>
      </c>
      <c r="F50" s="20" t="e">
        <f>世帯数不詳按分!F54/人口!K53</f>
        <v>#DIV/0!</v>
      </c>
      <c r="G50" s="20" t="e">
        <f>世帯数不詳按分!G54/人口!K53</f>
        <v>#DIV/0!</v>
      </c>
    </row>
    <row r="51" spans="1:7" x14ac:dyDescent="0.4">
      <c r="A51" s="22" t="s">
        <v>73</v>
      </c>
      <c r="B51" s="20" t="e">
        <f>世帯数不詳按分!B55/人口!K54</f>
        <v>#DIV/0!</v>
      </c>
      <c r="C51" s="20" t="e">
        <f>世帯数不詳按分!C55/人口!K54</f>
        <v>#DIV/0!</v>
      </c>
      <c r="D51" s="20" t="e">
        <f>世帯数不詳按分!D55/人口!K54</f>
        <v>#DIV/0!</v>
      </c>
      <c r="E51" s="20" t="e">
        <f>世帯数不詳按分!E55/人口!K54</f>
        <v>#DIV/0!</v>
      </c>
      <c r="F51" s="20" t="e">
        <f>世帯数不詳按分!F55/人口!K54</f>
        <v>#DIV/0!</v>
      </c>
      <c r="G51" s="20" t="e">
        <f>世帯数不詳按分!G55/人口!K54</f>
        <v>#DIV/0!</v>
      </c>
    </row>
    <row r="52" spans="1:7" x14ac:dyDescent="0.4">
      <c r="A52" s="22" t="s">
        <v>74</v>
      </c>
      <c r="B52" s="20" t="e">
        <f>世帯数不詳按分!B56/人口!K55</f>
        <v>#DIV/0!</v>
      </c>
      <c r="C52" s="20" t="e">
        <f>世帯数不詳按分!C56/人口!K55</f>
        <v>#DIV/0!</v>
      </c>
      <c r="D52" s="20" t="e">
        <f>世帯数不詳按分!D56/人口!K55</f>
        <v>#DIV/0!</v>
      </c>
      <c r="E52" s="20" t="e">
        <f>世帯数不詳按分!E56/人口!K55</f>
        <v>#DIV/0!</v>
      </c>
      <c r="F52" s="20" t="e">
        <f>世帯数不詳按分!F56/人口!K55</f>
        <v>#DIV/0!</v>
      </c>
      <c r="G52" s="20" t="e">
        <f>世帯数不詳按分!G56/人口!K55</f>
        <v>#DIV/0!</v>
      </c>
    </row>
    <row r="53" spans="1:7" x14ac:dyDescent="0.4">
      <c r="A53" s="22" t="s">
        <v>75</v>
      </c>
      <c r="B53" s="20" t="e">
        <f>世帯数不詳按分!B57/人口!K56</f>
        <v>#DIV/0!</v>
      </c>
      <c r="C53" s="20" t="e">
        <f>世帯数不詳按分!C57/人口!K56</f>
        <v>#DIV/0!</v>
      </c>
      <c r="D53" s="20" t="e">
        <f>世帯数不詳按分!D57/人口!K56</f>
        <v>#DIV/0!</v>
      </c>
      <c r="E53" s="20" t="e">
        <f>世帯数不詳按分!E57/人口!K56</f>
        <v>#DIV/0!</v>
      </c>
      <c r="F53" s="20" t="e">
        <f>世帯数不詳按分!F57/人口!K56</f>
        <v>#DIV/0!</v>
      </c>
      <c r="G53" s="20" t="e">
        <f>世帯数不詳按分!G57/人口!K56</f>
        <v>#DIV/0!</v>
      </c>
    </row>
    <row r="54" spans="1:7" x14ac:dyDescent="0.4">
      <c r="A54" s="22" t="s">
        <v>76</v>
      </c>
      <c r="B54" s="20" t="e">
        <f>世帯数不詳按分!B58/人口!K57</f>
        <v>#DIV/0!</v>
      </c>
      <c r="C54" s="20" t="e">
        <f>世帯数不詳按分!C58/人口!K57</f>
        <v>#DIV/0!</v>
      </c>
      <c r="D54" s="20" t="e">
        <f>世帯数不詳按分!D58/人口!K57</f>
        <v>#DIV/0!</v>
      </c>
      <c r="E54" s="20" t="e">
        <f>世帯数不詳按分!E58/人口!K57</f>
        <v>#DIV/0!</v>
      </c>
      <c r="F54" s="20" t="e">
        <f>世帯数不詳按分!F58/人口!K57</f>
        <v>#DIV/0!</v>
      </c>
      <c r="G54" s="20" t="e">
        <f>世帯数不詳按分!G58/人口!K57</f>
        <v>#DIV/0!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FED50-594A-4CC5-812B-E03DFF2C3AC7}">
  <sheetPr codeName="Sheet5"/>
  <dimension ref="A1:K59"/>
  <sheetViews>
    <sheetView workbookViewId="0"/>
  </sheetViews>
  <sheetFormatPr defaultRowHeight="18.75" x14ac:dyDescent="0.4"/>
  <cols>
    <col min="1" max="16384" width="9" style="17"/>
  </cols>
  <sheetData>
    <row r="1" spans="1:11" x14ac:dyDescent="0.4">
      <c r="A1" s="3" t="s">
        <v>85</v>
      </c>
      <c r="B1" s="4" t="str">
        <f>main!G6</f>
        <v>新潟市</v>
      </c>
      <c r="C1" s="4" t="str">
        <f>main!H6</f>
        <v>巻町</v>
      </c>
      <c r="D1" s="4">
        <f>main!I6</f>
        <v>0</v>
      </c>
      <c r="E1" s="4">
        <f>main!J6</f>
        <v>0</v>
      </c>
      <c r="F1" s="4">
        <f>main!K6</f>
        <v>0</v>
      </c>
      <c r="G1" s="4">
        <f>main!L6</f>
        <v>0</v>
      </c>
      <c r="H1" s="4"/>
      <c r="I1" s="17" t="s">
        <v>94</v>
      </c>
      <c r="K1" s="17" t="s">
        <v>93</v>
      </c>
    </row>
    <row r="2" spans="1:11" x14ac:dyDescent="0.4">
      <c r="A2" s="17" t="s">
        <v>91</v>
      </c>
      <c r="K2" s="17" t="e">
        <f>I2/SUM($I$2:$I$17)*$I$18+I2</f>
        <v>#DIV/0!</v>
      </c>
    </row>
    <row r="3" spans="1:11" x14ac:dyDescent="0.4">
      <c r="A3" s="17" t="s">
        <v>62</v>
      </c>
      <c r="K3" s="17" t="e">
        <f t="shared" ref="K3:K17" si="0">I3/SUM($I$2:$I$17)*$I$18+I3</f>
        <v>#DIV/0!</v>
      </c>
    </row>
    <row r="4" spans="1:11" x14ac:dyDescent="0.4">
      <c r="A4" s="17" t="s">
        <v>63</v>
      </c>
      <c r="K4" s="17" t="e">
        <f t="shared" si="0"/>
        <v>#DIV/0!</v>
      </c>
    </row>
    <row r="5" spans="1:11" x14ac:dyDescent="0.4">
      <c r="A5" s="17" t="s">
        <v>64</v>
      </c>
      <c r="K5" s="17" t="e">
        <f t="shared" si="0"/>
        <v>#DIV/0!</v>
      </c>
    </row>
    <row r="6" spans="1:11" x14ac:dyDescent="0.4">
      <c r="A6" s="17" t="s">
        <v>65</v>
      </c>
      <c r="K6" s="17" t="e">
        <f t="shared" si="0"/>
        <v>#DIV/0!</v>
      </c>
    </row>
    <row r="7" spans="1:11" x14ac:dyDescent="0.4">
      <c r="A7" s="17" t="s">
        <v>66</v>
      </c>
      <c r="K7" s="17" t="e">
        <f t="shared" si="0"/>
        <v>#DIV/0!</v>
      </c>
    </row>
    <row r="8" spans="1:11" x14ac:dyDescent="0.4">
      <c r="A8" s="17" t="s">
        <v>67</v>
      </c>
      <c r="K8" s="17" t="e">
        <f t="shared" si="0"/>
        <v>#DIV/0!</v>
      </c>
    </row>
    <row r="9" spans="1:11" x14ac:dyDescent="0.4">
      <c r="A9" s="17" t="s">
        <v>68</v>
      </c>
      <c r="K9" s="17" t="e">
        <f t="shared" si="0"/>
        <v>#DIV/0!</v>
      </c>
    </row>
    <row r="10" spans="1:11" x14ac:dyDescent="0.4">
      <c r="A10" s="17" t="s">
        <v>69</v>
      </c>
      <c r="K10" s="17" t="e">
        <f t="shared" si="0"/>
        <v>#DIV/0!</v>
      </c>
    </row>
    <row r="11" spans="1:11" x14ac:dyDescent="0.4">
      <c r="A11" s="17" t="s">
        <v>70</v>
      </c>
      <c r="K11" s="17" t="e">
        <f t="shared" si="0"/>
        <v>#DIV/0!</v>
      </c>
    </row>
    <row r="12" spans="1:11" x14ac:dyDescent="0.4">
      <c r="A12" s="17" t="s">
        <v>71</v>
      </c>
      <c r="K12" s="17" t="e">
        <f t="shared" si="0"/>
        <v>#DIV/0!</v>
      </c>
    </row>
    <row r="13" spans="1:11" x14ac:dyDescent="0.4">
      <c r="A13" s="17" t="s">
        <v>72</v>
      </c>
      <c r="K13" s="17" t="e">
        <f t="shared" si="0"/>
        <v>#DIV/0!</v>
      </c>
    </row>
    <row r="14" spans="1:11" x14ac:dyDescent="0.4">
      <c r="A14" s="17" t="s">
        <v>73</v>
      </c>
      <c r="K14" s="17" t="e">
        <f t="shared" si="0"/>
        <v>#DIV/0!</v>
      </c>
    </row>
    <row r="15" spans="1:11" x14ac:dyDescent="0.4">
      <c r="A15" s="17" t="s">
        <v>74</v>
      </c>
      <c r="K15" s="17" t="e">
        <f t="shared" si="0"/>
        <v>#DIV/0!</v>
      </c>
    </row>
    <row r="16" spans="1:11" x14ac:dyDescent="0.4">
      <c r="A16" s="17" t="s">
        <v>75</v>
      </c>
      <c r="K16" s="17" t="e">
        <f t="shared" si="0"/>
        <v>#DIV/0!</v>
      </c>
    </row>
    <row r="17" spans="1:11" x14ac:dyDescent="0.4">
      <c r="A17" s="17" t="s">
        <v>92</v>
      </c>
      <c r="K17" s="17" t="e">
        <f t="shared" si="0"/>
        <v>#DIV/0!</v>
      </c>
    </row>
    <row r="18" spans="1:11" x14ac:dyDescent="0.4">
      <c r="A18" s="17" t="s">
        <v>90</v>
      </c>
    </row>
    <row r="19" spans="1:11" x14ac:dyDescent="0.4">
      <c r="A19" s="17" t="s">
        <v>94</v>
      </c>
      <c r="B19" s="17">
        <f>SUM(B2:B18)</f>
        <v>0</v>
      </c>
      <c r="C19" s="17">
        <f>SUM(C2:C18)</f>
        <v>0</v>
      </c>
    </row>
    <row r="21" spans="1:11" x14ac:dyDescent="0.4">
      <c r="A21" s="3"/>
      <c r="H21" s="3" t="s">
        <v>86</v>
      </c>
      <c r="K21" s="17" t="s">
        <v>93</v>
      </c>
    </row>
    <row r="22" spans="1:11" x14ac:dyDescent="0.4">
      <c r="H22" s="17" t="s">
        <v>91</v>
      </c>
      <c r="K22" s="17" t="e">
        <f>IF($I$38="-",I22,I22/SUM($I$22:$I$37)*$I$38+I22)</f>
        <v>#DIV/0!</v>
      </c>
    </row>
    <row r="23" spans="1:11" x14ac:dyDescent="0.4">
      <c r="H23" s="17" t="s">
        <v>62</v>
      </c>
      <c r="K23" s="17" t="e">
        <f t="shared" ref="K23:K37" si="1">IF($I$38="-",I23,I23/SUM($I$22:$I$37)*$I$38+I23)</f>
        <v>#DIV/0!</v>
      </c>
    </row>
    <row r="24" spans="1:11" x14ac:dyDescent="0.4">
      <c r="H24" s="17" t="s">
        <v>63</v>
      </c>
      <c r="K24" s="17" t="e">
        <f t="shared" si="1"/>
        <v>#DIV/0!</v>
      </c>
    </row>
    <row r="25" spans="1:11" x14ac:dyDescent="0.4">
      <c r="H25" s="17" t="s">
        <v>64</v>
      </c>
      <c r="K25" s="17" t="e">
        <f t="shared" si="1"/>
        <v>#DIV/0!</v>
      </c>
    </row>
    <row r="26" spans="1:11" x14ac:dyDescent="0.4">
      <c r="H26" s="17" t="s">
        <v>65</v>
      </c>
      <c r="K26" s="17" t="e">
        <f t="shared" si="1"/>
        <v>#DIV/0!</v>
      </c>
    </row>
    <row r="27" spans="1:11" x14ac:dyDescent="0.4">
      <c r="H27" s="17" t="s">
        <v>66</v>
      </c>
      <c r="K27" s="17" t="e">
        <f t="shared" si="1"/>
        <v>#DIV/0!</v>
      </c>
    </row>
    <row r="28" spans="1:11" x14ac:dyDescent="0.4">
      <c r="H28" s="17" t="s">
        <v>67</v>
      </c>
      <c r="K28" s="17" t="e">
        <f t="shared" si="1"/>
        <v>#DIV/0!</v>
      </c>
    </row>
    <row r="29" spans="1:11" x14ac:dyDescent="0.4">
      <c r="H29" s="17" t="s">
        <v>68</v>
      </c>
      <c r="K29" s="17" t="e">
        <f t="shared" si="1"/>
        <v>#DIV/0!</v>
      </c>
    </row>
    <row r="30" spans="1:11" x14ac:dyDescent="0.4">
      <c r="H30" s="17" t="s">
        <v>69</v>
      </c>
      <c r="K30" s="17" t="e">
        <f t="shared" si="1"/>
        <v>#DIV/0!</v>
      </c>
    </row>
    <row r="31" spans="1:11" x14ac:dyDescent="0.4">
      <c r="H31" s="17" t="s">
        <v>70</v>
      </c>
      <c r="K31" s="17" t="e">
        <f t="shared" si="1"/>
        <v>#DIV/0!</v>
      </c>
    </row>
    <row r="32" spans="1:11" x14ac:dyDescent="0.4">
      <c r="H32" s="17" t="s">
        <v>71</v>
      </c>
      <c r="K32" s="17" t="e">
        <f t="shared" si="1"/>
        <v>#DIV/0!</v>
      </c>
    </row>
    <row r="33" spans="1:11" x14ac:dyDescent="0.4">
      <c r="H33" s="17" t="s">
        <v>72</v>
      </c>
      <c r="K33" s="17" t="e">
        <f t="shared" si="1"/>
        <v>#DIV/0!</v>
      </c>
    </row>
    <row r="34" spans="1:11" x14ac:dyDescent="0.4">
      <c r="H34" s="17" t="s">
        <v>73</v>
      </c>
      <c r="K34" s="17" t="e">
        <f t="shared" si="1"/>
        <v>#DIV/0!</v>
      </c>
    </row>
    <row r="35" spans="1:11" x14ac:dyDescent="0.4">
      <c r="H35" s="17" t="s">
        <v>74</v>
      </c>
      <c r="K35" s="17" t="e">
        <f t="shared" si="1"/>
        <v>#DIV/0!</v>
      </c>
    </row>
    <row r="36" spans="1:11" x14ac:dyDescent="0.4">
      <c r="H36" s="17" t="s">
        <v>75</v>
      </c>
      <c r="K36" s="17" t="e">
        <f t="shared" si="1"/>
        <v>#DIV/0!</v>
      </c>
    </row>
    <row r="37" spans="1:11" x14ac:dyDescent="0.4">
      <c r="H37" s="17" t="s">
        <v>92</v>
      </c>
      <c r="K37" s="17" t="e">
        <f t="shared" si="1"/>
        <v>#DIV/0!</v>
      </c>
    </row>
    <row r="38" spans="1:11" x14ac:dyDescent="0.4">
      <c r="H38" s="17" t="s">
        <v>90</v>
      </c>
    </row>
    <row r="39" spans="1:11" x14ac:dyDescent="0.4">
      <c r="H39" s="17" t="s">
        <v>94</v>
      </c>
    </row>
    <row r="41" spans="1:11" x14ac:dyDescent="0.4">
      <c r="A41" s="3"/>
      <c r="H41" s="3" t="s">
        <v>87</v>
      </c>
    </row>
    <row r="42" spans="1:11" x14ac:dyDescent="0.4">
      <c r="H42" s="17" t="s">
        <v>91</v>
      </c>
      <c r="K42" s="17" t="e">
        <f>IF($I$58="-",I42,I42/SUM($I$42:$I$57)*$I$58+I42)</f>
        <v>#DIV/0!</v>
      </c>
    </row>
    <row r="43" spans="1:11" x14ac:dyDescent="0.4">
      <c r="H43" s="17" t="s">
        <v>62</v>
      </c>
      <c r="K43" s="17" t="e">
        <f t="shared" ref="K43:K57" si="2">IF($I$58="-",I43,I43/SUM($I$42:$I$57)*$I$58+I43)</f>
        <v>#DIV/0!</v>
      </c>
    </row>
    <row r="44" spans="1:11" x14ac:dyDescent="0.4">
      <c r="H44" s="17" t="s">
        <v>63</v>
      </c>
      <c r="K44" s="17" t="e">
        <f t="shared" si="2"/>
        <v>#DIV/0!</v>
      </c>
    </row>
    <row r="45" spans="1:11" x14ac:dyDescent="0.4">
      <c r="H45" s="17" t="s">
        <v>64</v>
      </c>
      <c r="K45" s="17" t="e">
        <f t="shared" si="2"/>
        <v>#DIV/0!</v>
      </c>
    </row>
    <row r="46" spans="1:11" x14ac:dyDescent="0.4">
      <c r="H46" s="17" t="s">
        <v>65</v>
      </c>
      <c r="K46" s="17" t="e">
        <f t="shared" si="2"/>
        <v>#DIV/0!</v>
      </c>
    </row>
    <row r="47" spans="1:11" x14ac:dyDescent="0.4">
      <c r="H47" s="17" t="s">
        <v>66</v>
      </c>
      <c r="K47" s="17" t="e">
        <f t="shared" si="2"/>
        <v>#DIV/0!</v>
      </c>
    </row>
    <row r="48" spans="1:11" x14ac:dyDescent="0.4">
      <c r="H48" s="17" t="s">
        <v>67</v>
      </c>
      <c r="K48" s="17" t="e">
        <f t="shared" si="2"/>
        <v>#DIV/0!</v>
      </c>
    </row>
    <row r="49" spans="8:11" x14ac:dyDescent="0.4">
      <c r="H49" s="17" t="s">
        <v>68</v>
      </c>
      <c r="K49" s="17" t="e">
        <f t="shared" si="2"/>
        <v>#DIV/0!</v>
      </c>
    </row>
    <row r="50" spans="8:11" x14ac:dyDescent="0.4">
      <c r="H50" s="17" t="s">
        <v>69</v>
      </c>
      <c r="K50" s="17" t="e">
        <f t="shared" si="2"/>
        <v>#DIV/0!</v>
      </c>
    </row>
    <row r="51" spans="8:11" x14ac:dyDescent="0.4">
      <c r="H51" s="17" t="s">
        <v>70</v>
      </c>
      <c r="K51" s="17" t="e">
        <f t="shared" si="2"/>
        <v>#DIV/0!</v>
      </c>
    </row>
    <row r="52" spans="8:11" x14ac:dyDescent="0.4">
      <c r="H52" s="17" t="s">
        <v>71</v>
      </c>
      <c r="K52" s="17" t="e">
        <f t="shared" si="2"/>
        <v>#DIV/0!</v>
      </c>
    </row>
    <row r="53" spans="8:11" x14ac:dyDescent="0.4">
      <c r="H53" s="17" t="s">
        <v>72</v>
      </c>
      <c r="K53" s="17" t="e">
        <f t="shared" si="2"/>
        <v>#DIV/0!</v>
      </c>
    </row>
    <row r="54" spans="8:11" x14ac:dyDescent="0.4">
      <c r="H54" s="17" t="s">
        <v>73</v>
      </c>
      <c r="K54" s="17" t="e">
        <f t="shared" si="2"/>
        <v>#DIV/0!</v>
      </c>
    </row>
    <row r="55" spans="8:11" x14ac:dyDescent="0.4">
      <c r="H55" s="17" t="s">
        <v>74</v>
      </c>
      <c r="K55" s="17" t="e">
        <f t="shared" si="2"/>
        <v>#DIV/0!</v>
      </c>
    </row>
    <row r="56" spans="8:11" x14ac:dyDescent="0.4">
      <c r="H56" s="17" t="s">
        <v>75</v>
      </c>
      <c r="K56" s="17" t="e">
        <f t="shared" si="2"/>
        <v>#DIV/0!</v>
      </c>
    </row>
    <row r="57" spans="8:11" x14ac:dyDescent="0.4">
      <c r="H57" s="17" t="s">
        <v>92</v>
      </c>
      <c r="K57" s="17" t="e">
        <f t="shared" si="2"/>
        <v>#DIV/0!</v>
      </c>
    </row>
    <row r="58" spans="8:11" x14ac:dyDescent="0.4">
      <c r="H58" s="17" t="s">
        <v>90</v>
      </c>
    </row>
    <row r="59" spans="8:11" x14ac:dyDescent="0.4">
      <c r="H59" s="17" t="s">
        <v>94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63564-FE42-49D3-B074-80E56F5FB118}">
  <sheetPr codeName="Sheet4"/>
  <dimension ref="A1:I60"/>
  <sheetViews>
    <sheetView workbookViewId="0"/>
  </sheetViews>
  <sheetFormatPr defaultRowHeight="18.75" x14ac:dyDescent="0.4"/>
  <sheetData>
    <row r="1" spans="1:9" x14ac:dyDescent="0.4">
      <c r="A1" s="5" t="str">
        <f>main!G10</f>
        <v>新潟市</v>
      </c>
      <c r="B1" s="7" t="s">
        <v>89</v>
      </c>
    </row>
    <row r="2" spans="1:9" x14ac:dyDescent="0.4">
      <c r="A2" s="3" t="s">
        <v>85</v>
      </c>
      <c r="B2" s="2" t="s">
        <v>60</v>
      </c>
      <c r="C2" s="2" t="s">
        <v>77</v>
      </c>
      <c r="D2" s="2" t="s">
        <v>78</v>
      </c>
      <c r="E2" s="2" t="s">
        <v>79</v>
      </c>
      <c r="F2" s="2" t="s">
        <v>80</v>
      </c>
      <c r="G2" s="2" t="s">
        <v>81</v>
      </c>
      <c r="H2" s="2" t="s">
        <v>82</v>
      </c>
      <c r="I2" s="2"/>
    </row>
    <row r="3" spans="1:9" x14ac:dyDescent="0.4">
      <c r="A3" s="2" t="s">
        <v>61</v>
      </c>
      <c r="B3" s="6" t="e">
        <f t="shared" ref="B3:B18" si="0">SUM(C3:G3)</f>
        <v>#DIV/0!</v>
      </c>
      <c r="C3" s="6" t="e">
        <f>SUM(世帯数!C3,世帯数!M3,世帯数!W3,世帯数!AG3,世帯数!AQ3,世帯数!BA3)/SUM(世帯数!$B$20,世帯数!$L$20,世帯数!$V$20,世帯数!$AF$20,世帯数!$AP$20,世帯数!$AZ$20)*SUM(世帯数!$I$20,世帯数!$S$20,世帯数!$AC$20,世帯数!$AM$20,世帯数!$AW$20,世帯数!$BG$20)+SUM(世帯数!C3,世帯数!M3,世帯数!W3,世帯数!AG3,世帯数!AQ3,世帯数!BA3)</f>
        <v>#DIV/0!</v>
      </c>
      <c r="D3" s="6" t="e">
        <f>SUM(世帯数!D3,世帯数!N3,世帯数!X3,世帯数!AH3,世帯数!AR3,世帯数!BB3)/SUM(世帯数!$B$20,世帯数!$L$20,世帯数!$V$20,世帯数!$AF$20,世帯数!$AP$20,世帯数!$AZ$20)*SUM(世帯数!$I$20,世帯数!$S$20,世帯数!$AC$20,世帯数!$AM$20,世帯数!$AW$20,世帯数!$BG$20)+SUM(世帯数!D3,世帯数!N3,世帯数!X3,世帯数!AH3,世帯数!AR3,世帯数!BB3)</f>
        <v>#DIV/0!</v>
      </c>
      <c r="E3" s="6" t="e">
        <f>SUM(世帯数!E3,世帯数!O3,世帯数!Y3,世帯数!AI3,世帯数!AS3,世帯数!BC3)/SUM(世帯数!$B$20,世帯数!$L$20,世帯数!$V$20,世帯数!$AF$20,世帯数!$AP$20,世帯数!$AZ$20)*SUM(世帯数!$I$20,世帯数!$S$20,世帯数!$AC$20,世帯数!$AM$20,世帯数!$AW$20,世帯数!$BG$20)+SUM(世帯数!E3,世帯数!O3,世帯数!Y3,世帯数!AI3,世帯数!AS3,世帯数!BC3)</f>
        <v>#DIV/0!</v>
      </c>
      <c r="F3" s="6" t="e">
        <f>SUM(世帯数!F3,世帯数!P3,世帯数!Z3,世帯数!AJ3,世帯数!AT3,世帯数!BD3)/SUM(世帯数!$B$20,世帯数!$L$20,世帯数!$V$20,世帯数!$AF$20,世帯数!$AP$20,世帯数!$AZ$20)*SUM(世帯数!$I$20,世帯数!$S$20,世帯数!$AC$20,世帯数!$AM$20,世帯数!$AW$20,世帯数!$BG$20)+SUM(世帯数!F3,世帯数!P3,世帯数!Z3,世帯数!AJ3,世帯数!AT3,世帯数!BD3)</f>
        <v>#DIV/0!</v>
      </c>
      <c r="G3" s="6" t="e">
        <f>SUM(世帯数!G3,世帯数!Q3,世帯数!AA3,世帯数!AK3,世帯数!AU3,世帯数!BE3)/SUM(世帯数!$B$20,世帯数!$L$20,世帯数!$V$20,世帯数!$AF$20,世帯数!$AP$20,世帯数!$AZ$20)*SUM(世帯数!$I$20,世帯数!$S$20,世帯数!$AC$20,世帯数!$AM$20,世帯数!$AW$20,世帯数!$BG$20)+SUM(世帯数!G3,世帯数!Q3,世帯数!AA3,世帯数!AK3,世帯数!AU3,世帯数!BE3)</f>
        <v>#DIV/0!</v>
      </c>
    </row>
    <row r="4" spans="1:9" x14ac:dyDescent="0.4">
      <c r="A4" s="2" t="s">
        <v>62</v>
      </c>
      <c r="B4" s="6" t="e">
        <f t="shared" si="0"/>
        <v>#DIV/0!</v>
      </c>
      <c r="C4" s="6" t="e">
        <f>SUM(世帯数!C4,世帯数!M4,世帯数!W4,世帯数!AG4,世帯数!AQ4,世帯数!BA4)/SUM(世帯数!$B$20,世帯数!$L$20,世帯数!$V$20,世帯数!$AF$20,世帯数!$AP$20,世帯数!$AZ$20)*SUM(世帯数!$I$20,世帯数!$S$20,世帯数!$AC$20,世帯数!$AM$20,世帯数!$AW$20,世帯数!$BG$20)+SUM(世帯数!C4,世帯数!M4,世帯数!W4,世帯数!AG4,世帯数!AQ4,世帯数!BA4)</f>
        <v>#DIV/0!</v>
      </c>
      <c r="D4" s="6" t="e">
        <f>SUM(世帯数!D4,世帯数!N4,世帯数!X4,世帯数!AH4,世帯数!AR4,世帯数!BB4)/SUM(世帯数!$B$20,世帯数!$L$20,世帯数!$V$20,世帯数!$AF$20,世帯数!$AP$20,世帯数!$AZ$20)*SUM(世帯数!$I$20,世帯数!$S$20,世帯数!$AC$20,世帯数!$AM$20,世帯数!$AW$20,世帯数!$BG$20)+SUM(世帯数!D4,世帯数!N4,世帯数!X4,世帯数!AH4,世帯数!AR4,世帯数!BB4)</f>
        <v>#DIV/0!</v>
      </c>
      <c r="E4" s="6" t="e">
        <f>SUM(世帯数!E4,世帯数!O4,世帯数!Y4,世帯数!AI4,世帯数!AS4,世帯数!BC4)/SUM(世帯数!$B$20,世帯数!$L$20,世帯数!$V$20,世帯数!$AF$20,世帯数!$AP$20,世帯数!$AZ$20)*SUM(世帯数!$I$20,世帯数!$S$20,世帯数!$AC$20,世帯数!$AM$20,世帯数!$AW$20,世帯数!$BG$20)+SUM(世帯数!E4,世帯数!O4,世帯数!Y4,世帯数!AI4,世帯数!AS4,世帯数!BC4)</f>
        <v>#DIV/0!</v>
      </c>
      <c r="F4" s="6" t="e">
        <f>SUM(世帯数!F4,世帯数!P4,世帯数!Z4,世帯数!AJ4,世帯数!AT4,世帯数!BD4)/SUM(世帯数!$B$20,世帯数!$L$20,世帯数!$V$20,世帯数!$AF$20,世帯数!$AP$20,世帯数!$AZ$20)*SUM(世帯数!$I$20,世帯数!$S$20,世帯数!$AC$20,世帯数!$AM$20,世帯数!$AW$20,世帯数!$BG$20)+SUM(世帯数!F4,世帯数!P4,世帯数!Z4,世帯数!AJ4,世帯数!AT4,世帯数!BD4)</f>
        <v>#DIV/0!</v>
      </c>
      <c r="G4" s="6" t="e">
        <f>SUM(世帯数!G4,世帯数!Q4,世帯数!AA4,世帯数!AK4,世帯数!AU4,世帯数!BE4)/SUM(世帯数!$B$20,世帯数!$L$20,世帯数!$V$20,世帯数!$AF$20,世帯数!$AP$20,世帯数!$AZ$20)*SUM(世帯数!$I$20,世帯数!$S$20,世帯数!$AC$20,世帯数!$AM$20,世帯数!$AW$20,世帯数!$BG$20)+SUM(世帯数!G4,世帯数!Q4,世帯数!AA4,世帯数!AK4,世帯数!AU4,世帯数!BE4)</f>
        <v>#DIV/0!</v>
      </c>
    </row>
    <row r="5" spans="1:9" x14ac:dyDescent="0.4">
      <c r="A5" s="2" t="s">
        <v>63</v>
      </c>
      <c r="B5" s="6" t="e">
        <f t="shared" si="0"/>
        <v>#DIV/0!</v>
      </c>
      <c r="C5" s="6" t="e">
        <f>SUM(世帯数!C5,世帯数!M5,世帯数!W5,世帯数!AG5,世帯数!AQ5,世帯数!BA5)/SUM(世帯数!$B$20,世帯数!$L$20,世帯数!$V$20,世帯数!$AF$20,世帯数!$AP$20,世帯数!$AZ$20)*SUM(世帯数!$I$20,世帯数!$S$20,世帯数!$AC$20,世帯数!$AM$20,世帯数!$AW$20,世帯数!$BG$20)+SUM(世帯数!C5,世帯数!M5,世帯数!W5,世帯数!AG5,世帯数!AQ5,世帯数!BA5)</f>
        <v>#DIV/0!</v>
      </c>
      <c r="D5" s="6" t="e">
        <f>SUM(世帯数!D5,世帯数!N5,世帯数!X5,世帯数!AH5,世帯数!AR5,世帯数!BB5)/SUM(世帯数!$B$20,世帯数!$L$20,世帯数!$V$20,世帯数!$AF$20,世帯数!$AP$20,世帯数!$AZ$20)*SUM(世帯数!$I$20,世帯数!$S$20,世帯数!$AC$20,世帯数!$AM$20,世帯数!$AW$20,世帯数!$BG$20)+SUM(世帯数!D5,世帯数!N5,世帯数!X5,世帯数!AH5,世帯数!AR5,世帯数!BB5)</f>
        <v>#DIV/0!</v>
      </c>
      <c r="E5" s="6" t="e">
        <f>SUM(世帯数!E5,世帯数!O5,世帯数!Y5,世帯数!AI5,世帯数!AS5,世帯数!BC5)/SUM(世帯数!$B$20,世帯数!$L$20,世帯数!$V$20,世帯数!$AF$20,世帯数!$AP$20,世帯数!$AZ$20)*SUM(世帯数!$I$20,世帯数!$S$20,世帯数!$AC$20,世帯数!$AM$20,世帯数!$AW$20,世帯数!$BG$20)+SUM(世帯数!E5,世帯数!O5,世帯数!Y5,世帯数!AI5,世帯数!AS5,世帯数!BC5)</f>
        <v>#DIV/0!</v>
      </c>
      <c r="F5" s="6" t="e">
        <f>SUM(世帯数!F5,世帯数!P5,世帯数!Z5,世帯数!AJ5,世帯数!AT5,世帯数!BD5)/SUM(世帯数!$B$20,世帯数!$L$20,世帯数!$V$20,世帯数!$AF$20,世帯数!$AP$20,世帯数!$AZ$20)*SUM(世帯数!$I$20,世帯数!$S$20,世帯数!$AC$20,世帯数!$AM$20,世帯数!$AW$20,世帯数!$BG$20)+SUM(世帯数!F5,世帯数!P5,世帯数!Z5,世帯数!AJ5,世帯数!AT5,世帯数!BD5)</f>
        <v>#DIV/0!</v>
      </c>
      <c r="G5" s="6" t="e">
        <f>SUM(世帯数!G5,世帯数!Q5,世帯数!AA5,世帯数!AK5,世帯数!AU5,世帯数!BE5)/SUM(世帯数!$B$20,世帯数!$L$20,世帯数!$V$20,世帯数!$AF$20,世帯数!$AP$20,世帯数!$AZ$20)*SUM(世帯数!$I$20,世帯数!$S$20,世帯数!$AC$20,世帯数!$AM$20,世帯数!$AW$20,世帯数!$BG$20)+SUM(世帯数!G5,世帯数!Q5,世帯数!AA5,世帯数!AK5,世帯数!AU5,世帯数!BE5)</f>
        <v>#DIV/0!</v>
      </c>
    </row>
    <row r="6" spans="1:9" x14ac:dyDescent="0.4">
      <c r="A6" s="2" t="s">
        <v>64</v>
      </c>
      <c r="B6" s="6" t="e">
        <f t="shared" si="0"/>
        <v>#DIV/0!</v>
      </c>
      <c r="C6" s="6" t="e">
        <f>SUM(世帯数!C6,世帯数!M6,世帯数!W6,世帯数!AG6,世帯数!AQ6,世帯数!BA6)/SUM(世帯数!$B$20,世帯数!$L$20,世帯数!$V$20,世帯数!$AF$20,世帯数!$AP$20,世帯数!$AZ$20)*SUM(世帯数!$I$20,世帯数!$S$20,世帯数!$AC$20,世帯数!$AM$20,世帯数!$AW$20,世帯数!$BG$20)+SUM(世帯数!C6,世帯数!M6,世帯数!W6,世帯数!AG6,世帯数!AQ6,世帯数!BA6)</f>
        <v>#DIV/0!</v>
      </c>
      <c r="D6" s="6" t="e">
        <f>SUM(世帯数!D6,世帯数!N6,世帯数!X6,世帯数!AH6,世帯数!AR6,世帯数!BB6)/SUM(世帯数!$B$20,世帯数!$L$20,世帯数!$V$20,世帯数!$AF$20,世帯数!$AP$20,世帯数!$AZ$20)*SUM(世帯数!$I$20,世帯数!$S$20,世帯数!$AC$20,世帯数!$AM$20,世帯数!$AW$20,世帯数!$BG$20)+SUM(世帯数!D6,世帯数!N6,世帯数!X6,世帯数!AH6,世帯数!AR6,世帯数!BB6)</f>
        <v>#DIV/0!</v>
      </c>
      <c r="E6" s="6" t="e">
        <f>SUM(世帯数!E6,世帯数!O6,世帯数!Y6,世帯数!AI6,世帯数!AS6,世帯数!BC6)/SUM(世帯数!$B$20,世帯数!$L$20,世帯数!$V$20,世帯数!$AF$20,世帯数!$AP$20,世帯数!$AZ$20)*SUM(世帯数!$I$20,世帯数!$S$20,世帯数!$AC$20,世帯数!$AM$20,世帯数!$AW$20,世帯数!$BG$20)+SUM(世帯数!E6,世帯数!O6,世帯数!Y6,世帯数!AI6,世帯数!AS6,世帯数!BC6)</f>
        <v>#DIV/0!</v>
      </c>
      <c r="F6" s="6" t="e">
        <f>SUM(世帯数!F6,世帯数!P6,世帯数!Z6,世帯数!AJ6,世帯数!AT6,世帯数!BD6)/SUM(世帯数!$B$20,世帯数!$L$20,世帯数!$V$20,世帯数!$AF$20,世帯数!$AP$20,世帯数!$AZ$20)*SUM(世帯数!$I$20,世帯数!$S$20,世帯数!$AC$20,世帯数!$AM$20,世帯数!$AW$20,世帯数!$BG$20)+SUM(世帯数!F6,世帯数!P6,世帯数!Z6,世帯数!AJ6,世帯数!AT6,世帯数!BD6)</f>
        <v>#DIV/0!</v>
      </c>
      <c r="G6" s="6" t="e">
        <f>SUM(世帯数!G6,世帯数!Q6,世帯数!AA6,世帯数!AK6,世帯数!AU6,世帯数!BE6)/SUM(世帯数!$B$20,世帯数!$L$20,世帯数!$V$20,世帯数!$AF$20,世帯数!$AP$20,世帯数!$AZ$20)*SUM(世帯数!$I$20,世帯数!$S$20,世帯数!$AC$20,世帯数!$AM$20,世帯数!$AW$20,世帯数!$BG$20)+SUM(世帯数!G6,世帯数!Q6,世帯数!AA6,世帯数!AK6,世帯数!AU6,世帯数!BE6)</f>
        <v>#DIV/0!</v>
      </c>
    </row>
    <row r="7" spans="1:9" x14ac:dyDescent="0.4">
      <c r="A7" s="2" t="s">
        <v>65</v>
      </c>
      <c r="B7" s="6" t="e">
        <f t="shared" si="0"/>
        <v>#DIV/0!</v>
      </c>
      <c r="C7" s="6" t="e">
        <f>SUM(世帯数!C7,世帯数!M7,世帯数!W7,世帯数!AG7,世帯数!AQ7,世帯数!BA7)/SUM(世帯数!$B$20,世帯数!$L$20,世帯数!$V$20,世帯数!$AF$20,世帯数!$AP$20,世帯数!$AZ$20)*SUM(世帯数!$I$20,世帯数!$S$20,世帯数!$AC$20,世帯数!$AM$20,世帯数!$AW$20,世帯数!$BG$20)+SUM(世帯数!C7,世帯数!M7,世帯数!W7,世帯数!AG7,世帯数!AQ7,世帯数!BA7)</f>
        <v>#DIV/0!</v>
      </c>
      <c r="D7" s="6" t="e">
        <f>SUM(世帯数!D7,世帯数!N7,世帯数!X7,世帯数!AH7,世帯数!AR7,世帯数!BB7)/SUM(世帯数!$B$20,世帯数!$L$20,世帯数!$V$20,世帯数!$AF$20,世帯数!$AP$20,世帯数!$AZ$20)*SUM(世帯数!$I$20,世帯数!$S$20,世帯数!$AC$20,世帯数!$AM$20,世帯数!$AW$20,世帯数!$BG$20)+SUM(世帯数!D7,世帯数!N7,世帯数!X7,世帯数!AH7,世帯数!AR7,世帯数!BB7)</f>
        <v>#DIV/0!</v>
      </c>
      <c r="E7" s="6" t="e">
        <f>SUM(世帯数!E7,世帯数!O7,世帯数!Y7,世帯数!AI7,世帯数!AS7,世帯数!BC7)/SUM(世帯数!$B$20,世帯数!$L$20,世帯数!$V$20,世帯数!$AF$20,世帯数!$AP$20,世帯数!$AZ$20)*SUM(世帯数!$I$20,世帯数!$S$20,世帯数!$AC$20,世帯数!$AM$20,世帯数!$AW$20,世帯数!$BG$20)+SUM(世帯数!E7,世帯数!O7,世帯数!Y7,世帯数!AI7,世帯数!AS7,世帯数!BC7)</f>
        <v>#DIV/0!</v>
      </c>
      <c r="F7" s="6" t="e">
        <f>SUM(世帯数!F7,世帯数!P7,世帯数!Z7,世帯数!AJ7,世帯数!AT7,世帯数!BD7)/SUM(世帯数!$B$20,世帯数!$L$20,世帯数!$V$20,世帯数!$AF$20,世帯数!$AP$20,世帯数!$AZ$20)*SUM(世帯数!$I$20,世帯数!$S$20,世帯数!$AC$20,世帯数!$AM$20,世帯数!$AW$20,世帯数!$BG$20)+SUM(世帯数!F7,世帯数!P7,世帯数!Z7,世帯数!AJ7,世帯数!AT7,世帯数!BD7)</f>
        <v>#DIV/0!</v>
      </c>
      <c r="G7" s="6" t="e">
        <f>SUM(世帯数!G7,世帯数!Q7,世帯数!AA7,世帯数!AK7,世帯数!AU7,世帯数!BE7)/SUM(世帯数!$B$20,世帯数!$L$20,世帯数!$V$20,世帯数!$AF$20,世帯数!$AP$20,世帯数!$AZ$20)*SUM(世帯数!$I$20,世帯数!$S$20,世帯数!$AC$20,世帯数!$AM$20,世帯数!$AW$20,世帯数!$BG$20)+SUM(世帯数!G7,世帯数!Q7,世帯数!AA7,世帯数!AK7,世帯数!AU7,世帯数!BE7)</f>
        <v>#DIV/0!</v>
      </c>
    </row>
    <row r="8" spans="1:9" x14ac:dyDescent="0.4">
      <c r="A8" s="2" t="s">
        <v>66</v>
      </c>
      <c r="B8" s="6" t="e">
        <f t="shared" si="0"/>
        <v>#DIV/0!</v>
      </c>
      <c r="C8" s="6" t="e">
        <f>SUM(世帯数!C8,世帯数!M8,世帯数!W8,世帯数!AG8,世帯数!AQ8,世帯数!BA8)/SUM(世帯数!$B$20,世帯数!$L$20,世帯数!$V$20,世帯数!$AF$20,世帯数!$AP$20,世帯数!$AZ$20)*SUM(世帯数!$I$20,世帯数!$S$20,世帯数!$AC$20,世帯数!$AM$20,世帯数!$AW$20,世帯数!$BG$20)+SUM(世帯数!C8,世帯数!M8,世帯数!W8,世帯数!AG8,世帯数!AQ8,世帯数!BA8)</f>
        <v>#DIV/0!</v>
      </c>
      <c r="D8" s="6" t="e">
        <f>SUM(世帯数!D8,世帯数!N8,世帯数!X8,世帯数!AH8,世帯数!AR8,世帯数!BB8)/SUM(世帯数!$B$20,世帯数!$L$20,世帯数!$V$20,世帯数!$AF$20,世帯数!$AP$20,世帯数!$AZ$20)*SUM(世帯数!$I$20,世帯数!$S$20,世帯数!$AC$20,世帯数!$AM$20,世帯数!$AW$20,世帯数!$BG$20)+SUM(世帯数!D8,世帯数!N8,世帯数!X8,世帯数!AH8,世帯数!AR8,世帯数!BB8)</f>
        <v>#DIV/0!</v>
      </c>
      <c r="E8" s="6" t="e">
        <f>SUM(世帯数!E8,世帯数!O8,世帯数!Y8,世帯数!AI8,世帯数!AS8,世帯数!BC8)/SUM(世帯数!$B$20,世帯数!$L$20,世帯数!$V$20,世帯数!$AF$20,世帯数!$AP$20,世帯数!$AZ$20)*SUM(世帯数!$I$20,世帯数!$S$20,世帯数!$AC$20,世帯数!$AM$20,世帯数!$AW$20,世帯数!$BG$20)+SUM(世帯数!E8,世帯数!O8,世帯数!Y8,世帯数!AI8,世帯数!AS8,世帯数!BC8)</f>
        <v>#DIV/0!</v>
      </c>
      <c r="F8" s="6" t="e">
        <f>SUM(世帯数!F8,世帯数!P8,世帯数!Z8,世帯数!AJ8,世帯数!AT8,世帯数!BD8)/SUM(世帯数!$B$20,世帯数!$L$20,世帯数!$V$20,世帯数!$AF$20,世帯数!$AP$20,世帯数!$AZ$20)*SUM(世帯数!$I$20,世帯数!$S$20,世帯数!$AC$20,世帯数!$AM$20,世帯数!$AW$20,世帯数!$BG$20)+SUM(世帯数!F8,世帯数!P8,世帯数!Z8,世帯数!AJ8,世帯数!AT8,世帯数!BD8)</f>
        <v>#DIV/0!</v>
      </c>
      <c r="G8" s="6" t="e">
        <f>SUM(世帯数!G8,世帯数!Q8,世帯数!AA8,世帯数!AK8,世帯数!AU8,世帯数!BE8)/SUM(世帯数!$B$20,世帯数!$L$20,世帯数!$V$20,世帯数!$AF$20,世帯数!$AP$20,世帯数!$AZ$20)*SUM(世帯数!$I$20,世帯数!$S$20,世帯数!$AC$20,世帯数!$AM$20,世帯数!$AW$20,世帯数!$BG$20)+SUM(世帯数!G8,世帯数!Q8,世帯数!AA8,世帯数!AK8,世帯数!AU8,世帯数!BE8)</f>
        <v>#DIV/0!</v>
      </c>
    </row>
    <row r="9" spans="1:9" x14ac:dyDescent="0.4">
      <c r="A9" s="2" t="s">
        <v>67</v>
      </c>
      <c r="B9" s="6" t="e">
        <f t="shared" si="0"/>
        <v>#DIV/0!</v>
      </c>
      <c r="C9" s="6" t="e">
        <f>SUM(世帯数!C9,世帯数!M9,世帯数!W9,世帯数!AG9,世帯数!AQ9,世帯数!BA9)/SUM(世帯数!$B$20,世帯数!$L$20,世帯数!$V$20,世帯数!$AF$20,世帯数!$AP$20,世帯数!$AZ$20)*SUM(世帯数!$I$20,世帯数!$S$20,世帯数!$AC$20,世帯数!$AM$20,世帯数!$AW$20,世帯数!$BG$20)+SUM(世帯数!C9,世帯数!M9,世帯数!W9,世帯数!AG9,世帯数!AQ9,世帯数!BA9)</f>
        <v>#DIV/0!</v>
      </c>
      <c r="D9" s="6" t="e">
        <f>SUM(世帯数!D9,世帯数!N9,世帯数!X9,世帯数!AH9,世帯数!AR9,世帯数!BB9)/SUM(世帯数!$B$20,世帯数!$L$20,世帯数!$V$20,世帯数!$AF$20,世帯数!$AP$20,世帯数!$AZ$20)*SUM(世帯数!$I$20,世帯数!$S$20,世帯数!$AC$20,世帯数!$AM$20,世帯数!$AW$20,世帯数!$BG$20)+SUM(世帯数!D9,世帯数!N9,世帯数!X9,世帯数!AH9,世帯数!AR9,世帯数!BB9)</f>
        <v>#DIV/0!</v>
      </c>
      <c r="E9" s="6" t="e">
        <f>SUM(世帯数!E9,世帯数!O9,世帯数!Y9,世帯数!AI9,世帯数!AS9,世帯数!BC9)/SUM(世帯数!$B$20,世帯数!$L$20,世帯数!$V$20,世帯数!$AF$20,世帯数!$AP$20,世帯数!$AZ$20)*SUM(世帯数!$I$20,世帯数!$S$20,世帯数!$AC$20,世帯数!$AM$20,世帯数!$AW$20,世帯数!$BG$20)+SUM(世帯数!E9,世帯数!O9,世帯数!Y9,世帯数!AI9,世帯数!AS9,世帯数!BC9)</f>
        <v>#DIV/0!</v>
      </c>
      <c r="F9" s="6" t="e">
        <f>SUM(世帯数!F9,世帯数!P9,世帯数!Z9,世帯数!AJ9,世帯数!AT9,世帯数!BD9)/SUM(世帯数!$B$20,世帯数!$L$20,世帯数!$V$20,世帯数!$AF$20,世帯数!$AP$20,世帯数!$AZ$20)*SUM(世帯数!$I$20,世帯数!$S$20,世帯数!$AC$20,世帯数!$AM$20,世帯数!$AW$20,世帯数!$BG$20)+SUM(世帯数!F9,世帯数!P9,世帯数!Z9,世帯数!AJ9,世帯数!AT9,世帯数!BD9)</f>
        <v>#DIV/0!</v>
      </c>
      <c r="G9" s="6" t="e">
        <f>SUM(世帯数!G9,世帯数!Q9,世帯数!AA9,世帯数!AK9,世帯数!AU9,世帯数!BE9)/SUM(世帯数!$B$20,世帯数!$L$20,世帯数!$V$20,世帯数!$AF$20,世帯数!$AP$20,世帯数!$AZ$20)*SUM(世帯数!$I$20,世帯数!$S$20,世帯数!$AC$20,世帯数!$AM$20,世帯数!$AW$20,世帯数!$BG$20)+SUM(世帯数!G9,世帯数!Q9,世帯数!AA9,世帯数!AK9,世帯数!AU9,世帯数!BE9)</f>
        <v>#DIV/0!</v>
      </c>
    </row>
    <row r="10" spans="1:9" x14ac:dyDescent="0.4">
      <c r="A10" s="2" t="s">
        <v>68</v>
      </c>
      <c r="B10" s="6" t="e">
        <f t="shared" si="0"/>
        <v>#DIV/0!</v>
      </c>
      <c r="C10" s="6" t="e">
        <f>SUM(世帯数!C10,世帯数!M10,世帯数!W10,世帯数!AG10,世帯数!AQ10,世帯数!BA10)/SUM(世帯数!$B$20,世帯数!$L$20,世帯数!$V$20,世帯数!$AF$20,世帯数!$AP$20,世帯数!$AZ$20)*SUM(世帯数!$I$20,世帯数!$S$20,世帯数!$AC$20,世帯数!$AM$20,世帯数!$AW$20,世帯数!$BG$20)+SUM(世帯数!C10,世帯数!M10,世帯数!W10,世帯数!AG10,世帯数!AQ10,世帯数!BA10)</f>
        <v>#DIV/0!</v>
      </c>
      <c r="D10" s="6" t="e">
        <f>SUM(世帯数!D10,世帯数!N10,世帯数!X10,世帯数!AH10,世帯数!AR10,世帯数!BB10)/SUM(世帯数!$B$20,世帯数!$L$20,世帯数!$V$20,世帯数!$AF$20,世帯数!$AP$20,世帯数!$AZ$20)*SUM(世帯数!$I$20,世帯数!$S$20,世帯数!$AC$20,世帯数!$AM$20,世帯数!$AW$20,世帯数!$BG$20)+SUM(世帯数!D10,世帯数!N10,世帯数!X10,世帯数!AH10,世帯数!AR10,世帯数!BB10)</f>
        <v>#DIV/0!</v>
      </c>
      <c r="E10" s="6" t="e">
        <f>SUM(世帯数!E10,世帯数!O10,世帯数!Y10,世帯数!AI10,世帯数!AS10,世帯数!BC10)/SUM(世帯数!$B$20,世帯数!$L$20,世帯数!$V$20,世帯数!$AF$20,世帯数!$AP$20,世帯数!$AZ$20)*SUM(世帯数!$I$20,世帯数!$S$20,世帯数!$AC$20,世帯数!$AM$20,世帯数!$AW$20,世帯数!$BG$20)+SUM(世帯数!E10,世帯数!O10,世帯数!Y10,世帯数!AI10,世帯数!AS10,世帯数!BC10)</f>
        <v>#DIV/0!</v>
      </c>
      <c r="F10" s="6" t="e">
        <f>SUM(世帯数!F10,世帯数!P10,世帯数!Z10,世帯数!AJ10,世帯数!AT10,世帯数!BD10)/SUM(世帯数!$B$20,世帯数!$L$20,世帯数!$V$20,世帯数!$AF$20,世帯数!$AP$20,世帯数!$AZ$20)*SUM(世帯数!$I$20,世帯数!$S$20,世帯数!$AC$20,世帯数!$AM$20,世帯数!$AW$20,世帯数!$BG$20)+SUM(世帯数!F10,世帯数!P10,世帯数!Z10,世帯数!AJ10,世帯数!AT10,世帯数!BD10)</f>
        <v>#DIV/0!</v>
      </c>
      <c r="G10" s="6" t="e">
        <f>SUM(世帯数!G10,世帯数!Q10,世帯数!AA10,世帯数!AK10,世帯数!AU10,世帯数!BE10)/SUM(世帯数!$B$20,世帯数!$L$20,世帯数!$V$20,世帯数!$AF$20,世帯数!$AP$20,世帯数!$AZ$20)*SUM(世帯数!$I$20,世帯数!$S$20,世帯数!$AC$20,世帯数!$AM$20,世帯数!$AW$20,世帯数!$BG$20)+SUM(世帯数!G10,世帯数!Q10,世帯数!AA10,世帯数!AK10,世帯数!AU10,世帯数!BE10)</f>
        <v>#DIV/0!</v>
      </c>
    </row>
    <row r="11" spans="1:9" x14ac:dyDescent="0.4">
      <c r="A11" s="2" t="s">
        <v>69</v>
      </c>
      <c r="B11" s="6" t="e">
        <f t="shared" si="0"/>
        <v>#DIV/0!</v>
      </c>
      <c r="C11" s="6" t="e">
        <f>SUM(世帯数!C11,世帯数!M11,世帯数!W11,世帯数!AG11,世帯数!AQ11,世帯数!BA11)/SUM(世帯数!$B$20,世帯数!$L$20,世帯数!$V$20,世帯数!$AF$20,世帯数!$AP$20,世帯数!$AZ$20)*SUM(世帯数!$I$20,世帯数!$S$20,世帯数!$AC$20,世帯数!$AM$20,世帯数!$AW$20,世帯数!$BG$20)+SUM(世帯数!C11,世帯数!M11,世帯数!W11,世帯数!AG11,世帯数!AQ11,世帯数!BA11)</f>
        <v>#DIV/0!</v>
      </c>
      <c r="D11" s="6" t="e">
        <f>SUM(世帯数!D11,世帯数!N11,世帯数!X11,世帯数!AH11,世帯数!AR11,世帯数!BB11)/SUM(世帯数!$B$20,世帯数!$L$20,世帯数!$V$20,世帯数!$AF$20,世帯数!$AP$20,世帯数!$AZ$20)*SUM(世帯数!$I$20,世帯数!$S$20,世帯数!$AC$20,世帯数!$AM$20,世帯数!$AW$20,世帯数!$BG$20)+SUM(世帯数!D11,世帯数!N11,世帯数!X11,世帯数!AH11,世帯数!AR11,世帯数!BB11)</f>
        <v>#DIV/0!</v>
      </c>
      <c r="E11" s="6" t="e">
        <f>SUM(世帯数!E11,世帯数!O11,世帯数!Y11,世帯数!AI11,世帯数!AS11,世帯数!BC11)/SUM(世帯数!$B$20,世帯数!$L$20,世帯数!$V$20,世帯数!$AF$20,世帯数!$AP$20,世帯数!$AZ$20)*SUM(世帯数!$I$20,世帯数!$S$20,世帯数!$AC$20,世帯数!$AM$20,世帯数!$AW$20,世帯数!$BG$20)+SUM(世帯数!E11,世帯数!O11,世帯数!Y11,世帯数!AI11,世帯数!AS11,世帯数!BC11)</f>
        <v>#DIV/0!</v>
      </c>
      <c r="F11" s="6" t="e">
        <f>SUM(世帯数!F11,世帯数!P11,世帯数!Z11,世帯数!AJ11,世帯数!AT11,世帯数!BD11)/SUM(世帯数!$B$20,世帯数!$L$20,世帯数!$V$20,世帯数!$AF$20,世帯数!$AP$20,世帯数!$AZ$20)*SUM(世帯数!$I$20,世帯数!$S$20,世帯数!$AC$20,世帯数!$AM$20,世帯数!$AW$20,世帯数!$BG$20)+SUM(世帯数!F11,世帯数!P11,世帯数!Z11,世帯数!AJ11,世帯数!AT11,世帯数!BD11)</f>
        <v>#DIV/0!</v>
      </c>
      <c r="G11" s="6" t="e">
        <f>SUM(世帯数!G11,世帯数!Q11,世帯数!AA11,世帯数!AK11,世帯数!AU11,世帯数!BE11)/SUM(世帯数!$B$20,世帯数!$L$20,世帯数!$V$20,世帯数!$AF$20,世帯数!$AP$20,世帯数!$AZ$20)*SUM(世帯数!$I$20,世帯数!$S$20,世帯数!$AC$20,世帯数!$AM$20,世帯数!$AW$20,世帯数!$BG$20)+SUM(世帯数!G11,世帯数!Q11,世帯数!AA11,世帯数!AK11,世帯数!AU11,世帯数!BE11)</f>
        <v>#DIV/0!</v>
      </c>
    </row>
    <row r="12" spans="1:9" x14ac:dyDescent="0.4">
      <c r="A12" s="2" t="s">
        <v>70</v>
      </c>
      <c r="B12" s="6" t="e">
        <f t="shared" si="0"/>
        <v>#DIV/0!</v>
      </c>
      <c r="C12" s="6" t="e">
        <f>SUM(世帯数!C12,世帯数!M12,世帯数!W12,世帯数!AG12,世帯数!AQ12,世帯数!BA12)/SUM(世帯数!$B$20,世帯数!$L$20,世帯数!$V$20,世帯数!$AF$20,世帯数!$AP$20,世帯数!$AZ$20)*SUM(世帯数!$I$20,世帯数!$S$20,世帯数!$AC$20,世帯数!$AM$20,世帯数!$AW$20,世帯数!$BG$20)+SUM(世帯数!C12,世帯数!M12,世帯数!W12,世帯数!AG12,世帯数!AQ12,世帯数!BA12)</f>
        <v>#DIV/0!</v>
      </c>
      <c r="D12" s="6" t="e">
        <f>SUM(世帯数!D12,世帯数!N12,世帯数!X12,世帯数!AH12,世帯数!AR12,世帯数!BB12)/SUM(世帯数!$B$20,世帯数!$L$20,世帯数!$V$20,世帯数!$AF$20,世帯数!$AP$20,世帯数!$AZ$20)*SUM(世帯数!$I$20,世帯数!$S$20,世帯数!$AC$20,世帯数!$AM$20,世帯数!$AW$20,世帯数!$BG$20)+SUM(世帯数!D12,世帯数!N12,世帯数!X12,世帯数!AH12,世帯数!AR12,世帯数!BB12)</f>
        <v>#DIV/0!</v>
      </c>
      <c r="E12" s="6" t="e">
        <f>SUM(世帯数!E12,世帯数!O12,世帯数!Y12,世帯数!AI12,世帯数!AS12,世帯数!BC12)/SUM(世帯数!$B$20,世帯数!$L$20,世帯数!$V$20,世帯数!$AF$20,世帯数!$AP$20,世帯数!$AZ$20)*SUM(世帯数!$I$20,世帯数!$S$20,世帯数!$AC$20,世帯数!$AM$20,世帯数!$AW$20,世帯数!$BG$20)+SUM(世帯数!E12,世帯数!O12,世帯数!Y12,世帯数!AI12,世帯数!AS12,世帯数!BC12)</f>
        <v>#DIV/0!</v>
      </c>
      <c r="F12" s="6" t="e">
        <f>SUM(世帯数!F12,世帯数!P12,世帯数!Z12,世帯数!AJ12,世帯数!AT12,世帯数!BD12)/SUM(世帯数!$B$20,世帯数!$L$20,世帯数!$V$20,世帯数!$AF$20,世帯数!$AP$20,世帯数!$AZ$20)*SUM(世帯数!$I$20,世帯数!$S$20,世帯数!$AC$20,世帯数!$AM$20,世帯数!$AW$20,世帯数!$BG$20)+SUM(世帯数!F12,世帯数!P12,世帯数!Z12,世帯数!AJ12,世帯数!AT12,世帯数!BD12)</f>
        <v>#DIV/0!</v>
      </c>
      <c r="G12" s="6" t="e">
        <f>SUM(世帯数!G12,世帯数!Q12,世帯数!AA12,世帯数!AK12,世帯数!AU12,世帯数!BE12)/SUM(世帯数!$B$20,世帯数!$L$20,世帯数!$V$20,世帯数!$AF$20,世帯数!$AP$20,世帯数!$AZ$20)*SUM(世帯数!$I$20,世帯数!$S$20,世帯数!$AC$20,世帯数!$AM$20,世帯数!$AW$20,世帯数!$BG$20)+SUM(世帯数!G12,世帯数!Q12,世帯数!AA12,世帯数!AK12,世帯数!AU12,世帯数!BE12)</f>
        <v>#DIV/0!</v>
      </c>
    </row>
    <row r="13" spans="1:9" x14ac:dyDescent="0.4">
      <c r="A13" s="2" t="s">
        <v>71</v>
      </c>
      <c r="B13" s="6" t="e">
        <f t="shared" si="0"/>
        <v>#DIV/0!</v>
      </c>
      <c r="C13" s="6" t="e">
        <f>SUM(世帯数!C13,世帯数!M13,世帯数!W13,世帯数!AG13,世帯数!AQ13,世帯数!BA13)/SUM(世帯数!$B$20,世帯数!$L$20,世帯数!$V$20,世帯数!$AF$20,世帯数!$AP$20,世帯数!$AZ$20)*SUM(世帯数!$I$20,世帯数!$S$20,世帯数!$AC$20,世帯数!$AM$20,世帯数!$AW$20,世帯数!$BG$20)+SUM(世帯数!C13,世帯数!M13,世帯数!W13,世帯数!AG13,世帯数!AQ13,世帯数!BA13)</f>
        <v>#DIV/0!</v>
      </c>
      <c r="D13" s="6" t="e">
        <f>SUM(世帯数!D13,世帯数!N13,世帯数!X13,世帯数!AH13,世帯数!AR13,世帯数!BB13)/SUM(世帯数!$B$20,世帯数!$L$20,世帯数!$V$20,世帯数!$AF$20,世帯数!$AP$20,世帯数!$AZ$20)*SUM(世帯数!$I$20,世帯数!$S$20,世帯数!$AC$20,世帯数!$AM$20,世帯数!$AW$20,世帯数!$BG$20)+SUM(世帯数!D13,世帯数!N13,世帯数!X13,世帯数!AH13,世帯数!AR13,世帯数!BB13)</f>
        <v>#DIV/0!</v>
      </c>
      <c r="E13" s="6" t="e">
        <f>SUM(世帯数!E13,世帯数!O13,世帯数!Y13,世帯数!AI13,世帯数!AS13,世帯数!BC13)/SUM(世帯数!$B$20,世帯数!$L$20,世帯数!$V$20,世帯数!$AF$20,世帯数!$AP$20,世帯数!$AZ$20)*SUM(世帯数!$I$20,世帯数!$S$20,世帯数!$AC$20,世帯数!$AM$20,世帯数!$AW$20,世帯数!$BG$20)+SUM(世帯数!E13,世帯数!O13,世帯数!Y13,世帯数!AI13,世帯数!AS13,世帯数!BC13)</f>
        <v>#DIV/0!</v>
      </c>
      <c r="F13" s="6" t="e">
        <f>SUM(世帯数!F13,世帯数!P13,世帯数!Z13,世帯数!AJ13,世帯数!AT13,世帯数!BD13)/SUM(世帯数!$B$20,世帯数!$L$20,世帯数!$V$20,世帯数!$AF$20,世帯数!$AP$20,世帯数!$AZ$20)*SUM(世帯数!$I$20,世帯数!$S$20,世帯数!$AC$20,世帯数!$AM$20,世帯数!$AW$20,世帯数!$BG$20)+SUM(世帯数!F13,世帯数!P13,世帯数!Z13,世帯数!AJ13,世帯数!AT13,世帯数!BD13)</f>
        <v>#DIV/0!</v>
      </c>
      <c r="G13" s="6" t="e">
        <f>SUM(世帯数!G13,世帯数!Q13,世帯数!AA13,世帯数!AK13,世帯数!AU13,世帯数!BE13)/SUM(世帯数!$B$20,世帯数!$L$20,世帯数!$V$20,世帯数!$AF$20,世帯数!$AP$20,世帯数!$AZ$20)*SUM(世帯数!$I$20,世帯数!$S$20,世帯数!$AC$20,世帯数!$AM$20,世帯数!$AW$20,世帯数!$BG$20)+SUM(世帯数!G13,世帯数!Q13,世帯数!AA13,世帯数!AK13,世帯数!AU13,世帯数!BE13)</f>
        <v>#DIV/0!</v>
      </c>
    </row>
    <row r="14" spans="1:9" x14ac:dyDescent="0.4">
      <c r="A14" s="2" t="s">
        <v>72</v>
      </c>
      <c r="B14" s="6" t="e">
        <f t="shared" si="0"/>
        <v>#DIV/0!</v>
      </c>
      <c r="C14" s="6" t="e">
        <f>SUM(世帯数!C14,世帯数!M14,世帯数!W14,世帯数!AG14,世帯数!AQ14,世帯数!BA14)/SUM(世帯数!$B$20,世帯数!$L$20,世帯数!$V$20,世帯数!$AF$20,世帯数!$AP$20,世帯数!$AZ$20)*SUM(世帯数!$I$20,世帯数!$S$20,世帯数!$AC$20,世帯数!$AM$20,世帯数!$AW$20,世帯数!$BG$20)+SUM(世帯数!C14,世帯数!M14,世帯数!W14,世帯数!AG14,世帯数!AQ14,世帯数!BA14)</f>
        <v>#DIV/0!</v>
      </c>
      <c r="D14" s="6" t="e">
        <f>SUM(世帯数!D14,世帯数!N14,世帯数!X14,世帯数!AH14,世帯数!AR14,世帯数!BB14)/SUM(世帯数!$B$20,世帯数!$L$20,世帯数!$V$20,世帯数!$AF$20,世帯数!$AP$20,世帯数!$AZ$20)*SUM(世帯数!$I$20,世帯数!$S$20,世帯数!$AC$20,世帯数!$AM$20,世帯数!$AW$20,世帯数!$BG$20)+SUM(世帯数!D14,世帯数!N14,世帯数!X14,世帯数!AH14,世帯数!AR14,世帯数!BB14)</f>
        <v>#DIV/0!</v>
      </c>
      <c r="E14" s="6" t="e">
        <f>SUM(世帯数!E14,世帯数!O14,世帯数!Y14,世帯数!AI14,世帯数!AS14,世帯数!BC14)/SUM(世帯数!$B$20,世帯数!$L$20,世帯数!$V$20,世帯数!$AF$20,世帯数!$AP$20,世帯数!$AZ$20)*SUM(世帯数!$I$20,世帯数!$S$20,世帯数!$AC$20,世帯数!$AM$20,世帯数!$AW$20,世帯数!$BG$20)+SUM(世帯数!E14,世帯数!O14,世帯数!Y14,世帯数!AI14,世帯数!AS14,世帯数!BC14)</f>
        <v>#DIV/0!</v>
      </c>
      <c r="F14" s="6" t="e">
        <f>SUM(世帯数!F14,世帯数!P14,世帯数!Z14,世帯数!AJ14,世帯数!AT14,世帯数!BD14)/SUM(世帯数!$B$20,世帯数!$L$20,世帯数!$V$20,世帯数!$AF$20,世帯数!$AP$20,世帯数!$AZ$20)*SUM(世帯数!$I$20,世帯数!$S$20,世帯数!$AC$20,世帯数!$AM$20,世帯数!$AW$20,世帯数!$BG$20)+SUM(世帯数!F14,世帯数!P14,世帯数!Z14,世帯数!AJ14,世帯数!AT14,世帯数!BD14)</f>
        <v>#DIV/0!</v>
      </c>
      <c r="G14" s="6" t="e">
        <f>SUM(世帯数!G14,世帯数!Q14,世帯数!AA14,世帯数!AK14,世帯数!AU14,世帯数!BE14)/SUM(世帯数!$B$20,世帯数!$L$20,世帯数!$V$20,世帯数!$AF$20,世帯数!$AP$20,世帯数!$AZ$20)*SUM(世帯数!$I$20,世帯数!$S$20,世帯数!$AC$20,世帯数!$AM$20,世帯数!$AW$20,世帯数!$BG$20)+SUM(世帯数!G14,世帯数!Q14,世帯数!AA14,世帯数!AK14,世帯数!AU14,世帯数!BE14)</f>
        <v>#DIV/0!</v>
      </c>
    </row>
    <row r="15" spans="1:9" x14ac:dyDescent="0.4">
      <c r="A15" s="2" t="s">
        <v>73</v>
      </c>
      <c r="B15" s="6" t="e">
        <f t="shared" si="0"/>
        <v>#DIV/0!</v>
      </c>
      <c r="C15" s="6" t="e">
        <f>SUM(世帯数!C15,世帯数!M15,世帯数!W15,世帯数!AG15,世帯数!AQ15,世帯数!BA15)/SUM(世帯数!$B$20,世帯数!$L$20,世帯数!$V$20,世帯数!$AF$20,世帯数!$AP$20,世帯数!$AZ$20)*SUM(世帯数!$I$20,世帯数!$S$20,世帯数!$AC$20,世帯数!$AM$20,世帯数!$AW$20,世帯数!$BG$20)+SUM(世帯数!C15,世帯数!M15,世帯数!W15,世帯数!AG15,世帯数!AQ15,世帯数!BA15)</f>
        <v>#DIV/0!</v>
      </c>
      <c r="D15" s="6" t="e">
        <f>SUM(世帯数!D15,世帯数!N15,世帯数!X15,世帯数!AH15,世帯数!AR15,世帯数!BB15)/SUM(世帯数!$B$20,世帯数!$L$20,世帯数!$V$20,世帯数!$AF$20,世帯数!$AP$20,世帯数!$AZ$20)*SUM(世帯数!$I$20,世帯数!$S$20,世帯数!$AC$20,世帯数!$AM$20,世帯数!$AW$20,世帯数!$BG$20)+SUM(世帯数!D15,世帯数!N15,世帯数!X15,世帯数!AH15,世帯数!AR15,世帯数!BB15)</f>
        <v>#DIV/0!</v>
      </c>
      <c r="E15" s="6" t="e">
        <f>SUM(世帯数!E15,世帯数!O15,世帯数!Y15,世帯数!AI15,世帯数!AS15,世帯数!BC15)/SUM(世帯数!$B$20,世帯数!$L$20,世帯数!$V$20,世帯数!$AF$20,世帯数!$AP$20,世帯数!$AZ$20)*SUM(世帯数!$I$20,世帯数!$S$20,世帯数!$AC$20,世帯数!$AM$20,世帯数!$AW$20,世帯数!$BG$20)+SUM(世帯数!E15,世帯数!O15,世帯数!Y15,世帯数!AI15,世帯数!AS15,世帯数!BC15)</f>
        <v>#DIV/0!</v>
      </c>
      <c r="F15" s="6" t="e">
        <f>SUM(世帯数!F15,世帯数!P15,世帯数!Z15,世帯数!AJ15,世帯数!AT15,世帯数!BD15)/SUM(世帯数!$B$20,世帯数!$L$20,世帯数!$V$20,世帯数!$AF$20,世帯数!$AP$20,世帯数!$AZ$20)*SUM(世帯数!$I$20,世帯数!$S$20,世帯数!$AC$20,世帯数!$AM$20,世帯数!$AW$20,世帯数!$BG$20)+SUM(世帯数!F15,世帯数!P15,世帯数!Z15,世帯数!AJ15,世帯数!AT15,世帯数!BD15)</f>
        <v>#DIV/0!</v>
      </c>
      <c r="G15" s="6" t="e">
        <f>SUM(世帯数!G15,世帯数!Q15,世帯数!AA15,世帯数!AK15,世帯数!AU15,世帯数!BE15)/SUM(世帯数!$B$20,世帯数!$L$20,世帯数!$V$20,世帯数!$AF$20,世帯数!$AP$20,世帯数!$AZ$20)*SUM(世帯数!$I$20,世帯数!$S$20,世帯数!$AC$20,世帯数!$AM$20,世帯数!$AW$20,世帯数!$BG$20)+SUM(世帯数!G15,世帯数!Q15,世帯数!AA15,世帯数!AK15,世帯数!AU15,世帯数!BE15)</f>
        <v>#DIV/0!</v>
      </c>
    </row>
    <row r="16" spans="1:9" x14ac:dyDescent="0.4">
      <c r="A16" s="2" t="s">
        <v>74</v>
      </c>
      <c r="B16" s="6" t="e">
        <f t="shared" si="0"/>
        <v>#DIV/0!</v>
      </c>
      <c r="C16" s="6" t="e">
        <f>SUM(世帯数!C16,世帯数!M16,世帯数!W16,世帯数!AG16,世帯数!AQ16,世帯数!BA16)/SUM(世帯数!$B$20,世帯数!$L$20,世帯数!$V$20,世帯数!$AF$20,世帯数!$AP$20,世帯数!$AZ$20)*SUM(世帯数!$I$20,世帯数!$S$20,世帯数!$AC$20,世帯数!$AM$20,世帯数!$AW$20,世帯数!$BG$20)+SUM(世帯数!C16,世帯数!M16,世帯数!W16,世帯数!AG16,世帯数!AQ16,世帯数!BA16)</f>
        <v>#DIV/0!</v>
      </c>
      <c r="D16" s="6" t="e">
        <f>SUM(世帯数!D16,世帯数!N16,世帯数!X16,世帯数!AH16,世帯数!AR16,世帯数!BB16)/SUM(世帯数!$B$20,世帯数!$L$20,世帯数!$V$20,世帯数!$AF$20,世帯数!$AP$20,世帯数!$AZ$20)*SUM(世帯数!$I$20,世帯数!$S$20,世帯数!$AC$20,世帯数!$AM$20,世帯数!$AW$20,世帯数!$BG$20)+SUM(世帯数!D16,世帯数!N16,世帯数!X16,世帯数!AH16,世帯数!AR16,世帯数!BB16)</f>
        <v>#DIV/0!</v>
      </c>
      <c r="E16" s="6" t="e">
        <f>SUM(世帯数!E16,世帯数!O16,世帯数!Y16,世帯数!AI16,世帯数!AS16,世帯数!BC16)/SUM(世帯数!$B$20,世帯数!$L$20,世帯数!$V$20,世帯数!$AF$20,世帯数!$AP$20,世帯数!$AZ$20)*SUM(世帯数!$I$20,世帯数!$S$20,世帯数!$AC$20,世帯数!$AM$20,世帯数!$AW$20,世帯数!$BG$20)+SUM(世帯数!E16,世帯数!O16,世帯数!Y16,世帯数!AI16,世帯数!AS16,世帯数!BC16)</f>
        <v>#DIV/0!</v>
      </c>
      <c r="F16" s="6" t="e">
        <f>SUM(世帯数!F16,世帯数!P16,世帯数!Z16,世帯数!AJ16,世帯数!AT16,世帯数!BD16)/SUM(世帯数!$B$20,世帯数!$L$20,世帯数!$V$20,世帯数!$AF$20,世帯数!$AP$20,世帯数!$AZ$20)*SUM(世帯数!$I$20,世帯数!$S$20,世帯数!$AC$20,世帯数!$AM$20,世帯数!$AW$20,世帯数!$BG$20)+SUM(世帯数!F16,世帯数!P16,世帯数!Z16,世帯数!AJ16,世帯数!AT16,世帯数!BD16)</f>
        <v>#DIV/0!</v>
      </c>
      <c r="G16" s="6" t="e">
        <f>SUM(世帯数!G16,世帯数!Q16,世帯数!AA16,世帯数!AK16,世帯数!AU16,世帯数!BE16)/SUM(世帯数!$B$20,世帯数!$L$20,世帯数!$V$20,世帯数!$AF$20,世帯数!$AP$20,世帯数!$AZ$20)*SUM(世帯数!$I$20,世帯数!$S$20,世帯数!$AC$20,世帯数!$AM$20,世帯数!$AW$20,世帯数!$BG$20)+SUM(世帯数!G16,世帯数!Q16,世帯数!AA16,世帯数!AK16,世帯数!AU16,世帯数!BE16)</f>
        <v>#DIV/0!</v>
      </c>
    </row>
    <row r="17" spans="1:9" x14ac:dyDescent="0.4">
      <c r="A17" s="2" t="s">
        <v>75</v>
      </c>
      <c r="B17" s="6" t="e">
        <f t="shared" si="0"/>
        <v>#DIV/0!</v>
      </c>
      <c r="C17" s="6" t="e">
        <f>SUM(世帯数!C17,世帯数!M17,世帯数!W17,世帯数!AG17,世帯数!AQ17,世帯数!BA17)/SUM(世帯数!$B$20,世帯数!$L$20,世帯数!$V$20,世帯数!$AF$20,世帯数!$AP$20,世帯数!$AZ$20)*SUM(世帯数!$I$20,世帯数!$S$20,世帯数!$AC$20,世帯数!$AM$20,世帯数!$AW$20,世帯数!$BG$20)+SUM(世帯数!C17,世帯数!M17,世帯数!W17,世帯数!AG17,世帯数!AQ17,世帯数!BA17)</f>
        <v>#DIV/0!</v>
      </c>
      <c r="D17" s="6" t="e">
        <f>SUM(世帯数!D17,世帯数!N17,世帯数!X17,世帯数!AH17,世帯数!AR17,世帯数!BB17)/SUM(世帯数!$B$20,世帯数!$L$20,世帯数!$V$20,世帯数!$AF$20,世帯数!$AP$20,世帯数!$AZ$20)*SUM(世帯数!$I$20,世帯数!$S$20,世帯数!$AC$20,世帯数!$AM$20,世帯数!$AW$20,世帯数!$BG$20)+SUM(世帯数!D17,世帯数!N17,世帯数!X17,世帯数!AH17,世帯数!AR17,世帯数!BB17)</f>
        <v>#DIV/0!</v>
      </c>
      <c r="E17" s="6" t="e">
        <f>SUM(世帯数!E17,世帯数!O17,世帯数!Y17,世帯数!AI17,世帯数!AS17,世帯数!BC17)/SUM(世帯数!$B$20,世帯数!$L$20,世帯数!$V$20,世帯数!$AF$20,世帯数!$AP$20,世帯数!$AZ$20)*SUM(世帯数!$I$20,世帯数!$S$20,世帯数!$AC$20,世帯数!$AM$20,世帯数!$AW$20,世帯数!$BG$20)+SUM(世帯数!E17,世帯数!O17,世帯数!Y17,世帯数!AI17,世帯数!AS17,世帯数!BC17)</f>
        <v>#DIV/0!</v>
      </c>
      <c r="F17" s="6" t="e">
        <f>SUM(世帯数!F17,世帯数!P17,世帯数!Z17,世帯数!AJ17,世帯数!AT17,世帯数!BD17)/SUM(世帯数!$B$20,世帯数!$L$20,世帯数!$V$20,世帯数!$AF$20,世帯数!$AP$20,世帯数!$AZ$20)*SUM(世帯数!$I$20,世帯数!$S$20,世帯数!$AC$20,世帯数!$AM$20,世帯数!$AW$20,世帯数!$BG$20)+SUM(世帯数!F17,世帯数!P17,世帯数!Z17,世帯数!AJ17,世帯数!AT17,世帯数!BD17)</f>
        <v>#DIV/0!</v>
      </c>
      <c r="G17" s="6" t="e">
        <f>SUM(世帯数!G17,世帯数!Q17,世帯数!AA17,世帯数!AK17,世帯数!AU17,世帯数!BE17)/SUM(世帯数!$B$20,世帯数!$L$20,世帯数!$V$20,世帯数!$AF$20,世帯数!$AP$20,世帯数!$AZ$20)*SUM(世帯数!$I$20,世帯数!$S$20,世帯数!$AC$20,世帯数!$AM$20,世帯数!$AW$20,世帯数!$BG$20)+SUM(世帯数!G17,世帯数!Q17,世帯数!AA17,世帯数!AK17,世帯数!AU17,世帯数!BE17)</f>
        <v>#DIV/0!</v>
      </c>
    </row>
    <row r="18" spans="1:9" x14ac:dyDescent="0.4">
      <c r="A18" s="2" t="s">
        <v>76</v>
      </c>
      <c r="B18" s="6" t="e">
        <f t="shared" si="0"/>
        <v>#DIV/0!</v>
      </c>
      <c r="C18" s="6" t="e">
        <f>SUM(世帯数!C18,世帯数!M18,世帯数!W18,世帯数!AG18,世帯数!AQ18,世帯数!BA18)/SUM(世帯数!$B$20,世帯数!$L$20,世帯数!$V$20,世帯数!$AF$20,世帯数!$AP$20,世帯数!$AZ$20)*SUM(世帯数!$I$20,世帯数!$S$20,世帯数!$AC$20,世帯数!$AM$20,世帯数!$AW$20,世帯数!$BG$20)+SUM(世帯数!C18,世帯数!M18,世帯数!W18,世帯数!AG18,世帯数!AQ18,世帯数!BA18)</f>
        <v>#DIV/0!</v>
      </c>
      <c r="D18" s="6" t="e">
        <f>SUM(世帯数!D18,世帯数!N18,世帯数!X18,世帯数!AH18,世帯数!AR18,世帯数!BB18)/SUM(世帯数!$B$20,世帯数!$L$20,世帯数!$V$20,世帯数!$AF$20,世帯数!$AP$20,世帯数!$AZ$20)*SUM(世帯数!$I$20,世帯数!$S$20,世帯数!$AC$20,世帯数!$AM$20,世帯数!$AW$20,世帯数!$BG$20)+SUM(世帯数!D18,世帯数!N18,世帯数!X18,世帯数!AH18,世帯数!AR18,世帯数!BB18)</f>
        <v>#DIV/0!</v>
      </c>
      <c r="E18" s="6" t="e">
        <f>SUM(世帯数!E18,世帯数!O18,世帯数!Y18,世帯数!AI18,世帯数!AS18,世帯数!BC18)/SUM(世帯数!$B$20,世帯数!$L$20,世帯数!$V$20,世帯数!$AF$20,世帯数!$AP$20,世帯数!$AZ$20)*SUM(世帯数!$I$20,世帯数!$S$20,世帯数!$AC$20,世帯数!$AM$20,世帯数!$AW$20,世帯数!$BG$20)+SUM(世帯数!E18,世帯数!O18,世帯数!Y18,世帯数!AI18,世帯数!AS18,世帯数!BC18)</f>
        <v>#DIV/0!</v>
      </c>
      <c r="F18" s="6" t="e">
        <f>SUM(世帯数!F18,世帯数!P18,世帯数!Z18,世帯数!AJ18,世帯数!AT18,世帯数!BD18)/SUM(世帯数!$B$20,世帯数!$L$20,世帯数!$V$20,世帯数!$AF$20,世帯数!$AP$20,世帯数!$AZ$20)*SUM(世帯数!$I$20,世帯数!$S$20,世帯数!$AC$20,世帯数!$AM$20,世帯数!$AW$20,世帯数!$BG$20)+SUM(世帯数!F18,世帯数!P18,世帯数!Z18,世帯数!AJ18,世帯数!AT18,世帯数!BD18)</f>
        <v>#DIV/0!</v>
      </c>
      <c r="G18" s="6" t="e">
        <f>SUM(世帯数!G18,世帯数!Q18,世帯数!AA18,世帯数!AK18,世帯数!AU18,世帯数!BE18)/SUM(世帯数!$B$20,世帯数!$L$20,世帯数!$V$20,世帯数!$AF$20,世帯数!$AP$20,世帯数!$AZ$20)*SUM(世帯数!$I$20,世帯数!$S$20,世帯数!$AC$20,世帯数!$AM$20,世帯数!$AW$20,世帯数!$BG$20)+SUM(世帯数!G18,世帯数!Q18,世帯数!AA18,世帯数!AK18,世帯数!AU18,世帯数!BE18)</f>
        <v>#DIV/0!</v>
      </c>
    </row>
    <row r="19" spans="1:9" x14ac:dyDescent="0.4">
      <c r="A19" s="2" t="s">
        <v>88</v>
      </c>
      <c r="H19" s="6">
        <f>SUM(世帯数!H19,世帯数!R19,世帯数!AB19,世帯数!AL19,世帯数!AV19,世帯数!BF19)</f>
        <v>0</v>
      </c>
    </row>
    <row r="20" spans="1:9" x14ac:dyDescent="0.4">
      <c r="A20" s="2" t="s">
        <v>84</v>
      </c>
      <c r="B20" s="6" t="e">
        <f>SUM(B3:B19)</f>
        <v>#DIV/0!</v>
      </c>
      <c r="C20" s="6" t="e">
        <f t="shared" ref="C20:H20" si="1">SUM(C3:C19)</f>
        <v>#DIV/0!</v>
      </c>
      <c r="D20" s="6" t="e">
        <f t="shared" si="1"/>
        <v>#DIV/0!</v>
      </c>
      <c r="E20" s="6" t="e">
        <f t="shared" si="1"/>
        <v>#DIV/0!</v>
      </c>
      <c r="F20" s="6" t="e">
        <f t="shared" si="1"/>
        <v>#DIV/0!</v>
      </c>
      <c r="G20" s="6" t="e">
        <f t="shared" si="1"/>
        <v>#DIV/0!</v>
      </c>
      <c r="H20" s="6">
        <f t="shared" si="1"/>
        <v>0</v>
      </c>
    </row>
    <row r="22" spans="1:9" x14ac:dyDescent="0.4">
      <c r="A22" s="3" t="s">
        <v>86</v>
      </c>
      <c r="B22" s="2" t="s">
        <v>60</v>
      </c>
      <c r="C22" s="2" t="s">
        <v>77</v>
      </c>
      <c r="D22" s="2" t="s">
        <v>78</v>
      </c>
      <c r="E22" s="2" t="s">
        <v>79</v>
      </c>
      <c r="F22" s="2" t="s">
        <v>80</v>
      </c>
      <c r="G22" s="2" t="s">
        <v>81</v>
      </c>
      <c r="H22" s="2" t="s">
        <v>82</v>
      </c>
      <c r="I22" s="2"/>
    </row>
    <row r="23" spans="1:9" x14ac:dyDescent="0.4">
      <c r="A23" s="2" t="s">
        <v>61</v>
      </c>
      <c r="B23" s="6" t="e">
        <f t="shared" ref="B23:B38" si="2">SUM(C23:G23)</f>
        <v>#DIV/0!</v>
      </c>
      <c r="C23" s="2" t="e">
        <f>IF(世帯数!C23="-",0,世帯数!C23/世帯数!$B$40*世帯数!$I$40+世帯数!C23)</f>
        <v>#DIV/0!</v>
      </c>
      <c r="D23" s="2" t="e">
        <f>IF(世帯数!D23="-",0,世帯数!D23/世帯数!$B$40*世帯数!$I$40+世帯数!D23)</f>
        <v>#DIV/0!</v>
      </c>
      <c r="E23" s="2" t="e">
        <f>IF(世帯数!E23="-",0,世帯数!E23/世帯数!$B$40*世帯数!$I$40+世帯数!E23)</f>
        <v>#DIV/0!</v>
      </c>
      <c r="F23" s="2" t="e">
        <f>IF(世帯数!F23="-",0,世帯数!F23/世帯数!$B$40*世帯数!$I$40+世帯数!F23)</f>
        <v>#DIV/0!</v>
      </c>
      <c r="G23" s="2" t="e">
        <f>IF(世帯数!G23="-",0,世帯数!G23/世帯数!$B$40*世帯数!$I$40+世帯数!G23)</f>
        <v>#DIV/0!</v>
      </c>
    </row>
    <row r="24" spans="1:9" x14ac:dyDescent="0.4">
      <c r="A24" s="2" t="s">
        <v>62</v>
      </c>
      <c r="B24" s="6" t="e">
        <f t="shared" si="2"/>
        <v>#DIV/0!</v>
      </c>
      <c r="C24" s="2" t="e">
        <f>IF(世帯数!C24="-",0,世帯数!C24/世帯数!$B$40*世帯数!$I$40+世帯数!C24)</f>
        <v>#DIV/0!</v>
      </c>
      <c r="D24" s="2" t="e">
        <f>IF(世帯数!D24="-",0,世帯数!D24/世帯数!$B$40*世帯数!$I$40+世帯数!D24)</f>
        <v>#DIV/0!</v>
      </c>
      <c r="E24" s="2" t="e">
        <f>IF(世帯数!E24="-",0,世帯数!E24/世帯数!$B$40*世帯数!$I$40+世帯数!E24)</f>
        <v>#DIV/0!</v>
      </c>
      <c r="F24" s="2" t="e">
        <f>IF(世帯数!F24="-",0,世帯数!F24/世帯数!$B$40*世帯数!$I$40+世帯数!F24)</f>
        <v>#DIV/0!</v>
      </c>
      <c r="G24" s="2" t="e">
        <f>IF(世帯数!G24="-",0,世帯数!G24/世帯数!$B$40*世帯数!$I$40+世帯数!G24)</f>
        <v>#DIV/0!</v>
      </c>
    </row>
    <row r="25" spans="1:9" x14ac:dyDescent="0.4">
      <c r="A25" s="2" t="s">
        <v>63</v>
      </c>
      <c r="B25" s="6" t="e">
        <f t="shared" si="2"/>
        <v>#DIV/0!</v>
      </c>
      <c r="C25" s="2" t="e">
        <f>IF(世帯数!C25="-",0,世帯数!C25/世帯数!$B$40*世帯数!$I$40+世帯数!C25)</f>
        <v>#DIV/0!</v>
      </c>
      <c r="D25" s="2" t="e">
        <f>IF(世帯数!D25="-",0,世帯数!D25/世帯数!$B$40*世帯数!$I$40+世帯数!D25)</f>
        <v>#DIV/0!</v>
      </c>
      <c r="E25" s="2" t="e">
        <f>IF(世帯数!E25="-",0,世帯数!E25/世帯数!$B$40*世帯数!$I$40+世帯数!E25)</f>
        <v>#DIV/0!</v>
      </c>
      <c r="F25" s="2" t="e">
        <f>IF(世帯数!F25="-",0,世帯数!F25/世帯数!$B$40*世帯数!$I$40+世帯数!F25)</f>
        <v>#DIV/0!</v>
      </c>
      <c r="G25" s="2" t="e">
        <f>IF(世帯数!G25="-",0,世帯数!G25/世帯数!$B$40*世帯数!$I$40+世帯数!G25)</f>
        <v>#DIV/0!</v>
      </c>
    </row>
    <row r="26" spans="1:9" x14ac:dyDescent="0.4">
      <c r="A26" s="2" t="s">
        <v>64</v>
      </c>
      <c r="B26" s="6" t="e">
        <f t="shared" si="2"/>
        <v>#DIV/0!</v>
      </c>
      <c r="C26" s="2" t="e">
        <f>IF(世帯数!C26="-",0,世帯数!C26/世帯数!$B$40*世帯数!$I$40+世帯数!C26)</f>
        <v>#DIV/0!</v>
      </c>
      <c r="D26" s="2" t="e">
        <f>IF(世帯数!D26="-",0,世帯数!D26/世帯数!$B$40*世帯数!$I$40+世帯数!D26)</f>
        <v>#DIV/0!</v>
      </c>
      <c r="E26" s="2" t="e">
        <f>IF(世帯数!E26="-",0,世帯数!E26/世帯数!$B$40*世帯数!$I$40+世帯数!E26)</f>
        <v>#DIV/0!</v>
      </c>
      <c r="F26" s="2" t="e">
        <f>IF(世帯数!F26="-",0,世帯数!F26/世帯数!$B$40*世帯数!$I$40+世帯数!F26)</f>
        <v>#DIV/0!</v>
      </c>
      <c r="G26" s="2" t="e">
        <f>IF(世帯数!G26="-",0,世帯数!G26/世帯数!$B$40*世帯数!$I$40+世帯数!G26)</f>
        <v>#DIV/0!</v>
      </c>
    </row>
    <row r="27" spans="1:9" x14ac:dyDescent="0.4">
      <c r="A27" s="2" t="s">
        <v>65</v>
      </c>
      <c r="B27" s="6" t="e">
        <f t="shared" si="2"/>
        <v>#DIV/0!</v>
      </c>
      <c r="C27" s="2" t="e">
        <f>IF(世帯数!C27="-",0,世帯数!C27/世帯数!$B$40*世帯数!$I$40+世帯数!C27)</f>
        <v>#DIV/0!</v>
      </c>
      <c r="D27" s="2" t="e">
        <f>IF(世帯数!D27="-",0,世帯数!D27/世帯数!$B$40*世帯数!$I$40+世帯数!D27)</f>
        <v>#DIV/0!</v>
      </c>
      <c r="E27" s="2" t="e">
        <f>IF(世帯数!E27="-",0,世帯数!E27/世帯数!$B$40*世帯数!$I$40+世帯数!E27)</f>
        <v>#DIV/0!</v>
      </c>
      <c r="F27" s="2" t="e">
        <f>IF(世帯数!F27="-",0,世帯数!F27/世帯数!$B$40*世帯数!$I$40+世帯数!F27)</f>
        <v>#DIV/0!</v>
      </c>
      <c r="G27" s="2" t="e">
        <f>IF(世帯数!G27="-",0,世帯数!G27/世帯数!$B$40*世帯数!$I$40+世帯数!G27)</f>
        <v>#DIV/0!</v>
      </c>
    </row>
    <row r="28" spans="1:9" x14ac:dyDescent="0.4">
      <c r="A28" s="2" t="s">
        <v>66</v>
      </c>
      <c r="B28" s="6" t="e">
        <f t="shared" si="2"/>
        <v>#DIV/0!</v>
      </c>
      <c r="C28" s="2" t="e">
        <f>IF(世帯数!C28="-",0,世帯数!C28/世帯数!$B$40*世帯数!$I$40+世帯数!C28)</f>
        <v>#DIV/0!</v>
      </c>
      <c r="D28" s="2" t="e">
        <f>IF(世帯数!D28="-",0,世帯数!D28/世帯数!$B$40*世帯数!$I$40+世帯数!D28)</f>
        <v>#DIV/0!</v>
      </c>
      <c r="E28" s="2" t="e">
        <f>IF(世帯数!E28="-",0,世帯数!E28/世帯数!$B$40*世帯数!$I$40+世帯数!E28)</f>
        <v>#DIV/0!</v>
      </c>
      <c r="F28" s="2" t="e">
        <f>IF(世帯数!F28="-",0,世帯数!F28/世帯数!$B$40*世帯数!$I$40+世帯数!F28)</f>
        <v>#DIV/0!</v>
      </c>
      <c r="G28" s="2" t="e">
        <f>IF(世帯数!G28="-",0,世帯数!G28/世帯数!$B$40*世帯数!$I$40+世帯数!G28)</f>
        <v>#DIV/0!</v>
      </c>
    </row>
    <row r="29" spans="1:9" x14ac:dyDescent="0.4">
      <c r="A29" s="2" t="s">
        <v>67</v>
      </c>
      <c r="B29" s="6" t="e">
        <f t="shared" si="2"/>
        <v>#DIV/0!</v>
      </c>
      <c r="C29" s="2" t="e">
        <f>IF(世帯数!C29="-",0,世帯数!C29/世帯数!$B$40*世帯数!$I$40+世帯数!C29)</f>
        <v>#DIV/0!</v>
      </c>
      <c r="D29" s="2" t="e">
        <f>IF(世帯数!D29="-",0,世帯数!D29/世帯数!$B$40*世帯数!$I$40+世帯数!D29)</f>
        <v>#DIV/0!</v>
      </c>
      <c r="E29" s="2" t="e">
        <f>IF(世帯数!E29="-",0,世帯数!E29/世帯数!$B$40*世帯数!$I$40+世帯数!E29)</f>
        <v>#DIV/0!</v>
      </c>
      <c r="F29" s="2" t="e">
        <f>IF(世帯数!F29="-",0,世帯数!F29/世帯数!$B$40*世帯数!$I$40+世帯数!F29)</f>
        <v>#DIV/0!</v>
      </c>
      <c r="G29" s="2" t="e">
        <f>IF(世帯数!G29="-",0,世帯数!G29/世帯数!$B$40*世帯数!$I$40+世帯数!G29)</f>
        <v>#DIV/0!</v>
      </c>
    </row>
    <row r="30" spans="1:9" x14ac:dyDescent="0.4">
      <c r="A30" s="2" t="s">
        <v>68</v>
      </c>
      <c r="B30" s="6" t="e">
        <f t="shared" si="2"/>
        <v>#DIV/0!</v>
      </c>
      <c r="C30" s="2" t="e">
        <f>IF(世帯数!C30="-",0,世帯数!C30/世帯数!$B$40*世帯数!$I$40+世帯数!C30)</f>
        <v>#DIV/0!</v>
      </c>
      <c r="D30" s="2" t="e">
        <f>IF(世帯数!D30="-",0,世帯数!D30/世帯数!$B$40*世帯数!$I$40+世帯数!D30)</f>
        <v>#DIV/0!</v>
      </c>
      <c r="E30" s="2" t="e">
        <f>IF(世帯数!E30="-",0,世帯数!E30/世帯数!$B$40*世帯数!$I$40+世帯数!E30)</f>
        <v>#DIV/0!</v>
      </c>
      <c r="F30" s="2" t="e">
        <f>IF(世帯数!F30="-",0,世帯数!F30/世帯数!$B$40*世帯数!$I$40+世帯数!F30)</f>
        <v>#DIV/0!</v>
      </c>
      <c r="G30" s="2" t="e">
        <f>IF(世帯数!G30="-",0,世帯数!G30/世帯数!$B$40*世帯数!$I$40+世帯数!G30)</f>
        <v>#DIV/0!</v>
      </c>
    </row>
    <row r="31" spans="1:9" x14ac:dyDescent="0.4">
      <c r="A31" s="2" t="s">
        <v>69</v>
      </c>
      <c r="B31" s="6" t="e">
        <f t="shared" si="2"/>
        <v>#DIV/0!</v>
      </c>
      <c r="C31" s="2" t="e">
        <f>IF(世帯数!C31="-",0,世帯数!C31/世帯数!$B$40*世帯数!$I$40+世帯数!C31)</f>
        <v>#DIV/0!</v>
      </c>
      <c r="D31" s="2" t="e">
        <f>IF(世帯数!D31="-",0,世帯数!D31/世帯数!$B$40*世帯数!$I$40+世帯数!D31)</f>
        <v>#DIV/0!</v>
      </c>
      <c r="E31" s="2" t="e">
        <f>IF(世帯数!E31="-",0,世帯数!E31/世帯数!$B$40*世帯数!$I$40+世帯数!E31)</f>
        <v>#DIV/0!</v>
      </c>
      <c r="F31" s="2" t="e">
        <f>IF(世帯数!F31="-",0,世帯数!F31/世帯数!$B$40*世帯数!$I$40+世帯数!F31)</f>
        <v>#DIV/0!</v>
      </c>
      <c r="G31" s="2" t="e">
        <f>IF(世帯数!G31="-",0,世帯数!G31/世帯数!$B$40*世帯数!$I$40+世帯数!G31)</f>
        <v>#DIV/0!</v>
      </c>
    </row>
    <row r="32" spans="1:9" x14ac:dyDescent="0.4">
      <c r="A32" s="2" t="s">
        <v>70</v>
      </c>
      <c r="B32" s="6" t="e">
        <f t="shared" si="2"/>
        <v>#DIV/0!</v>
      </c>
      <c r="C32" s="2" t="e">
        <f>IF(世帯数!C32="-",0,世帯数!C32/世帯数!$B$40*世帯数!$I$40+世帯数!C32)</f>
        <v>#DIV/0!</v>
      </c>
      <c r="D32" s="2" t="e">
        <f>IF(世帯数!D32="-",0,世帯数!D32/世帯数!$B$40*世帯数!$I$40+世帯数!D32)</f>
        <v>#DIV/0!</v>
      </c>
      <c r="E32" s="2" t="e">
        <f>IF(世帯数!E32="-",0,世帯数!E32/世帯数!$B$40*世帯数!$I$40+世帯数!E32)</f>
        <v>#DIV/0!</v>
      </c>
      <c r="F32" s="2" t="e">
        <f>IF(世帯数!F32="-",0,世帯数!F32/世帯数!$B$40*世帯数!$I$40+世帯数!F32)</f>
        <v>#DIV/0!</v>
      </c>
      <c r="G32" s="2" t="e">
        <f>IF(世帯数!G32="-",0,世帯数!G32/世帯数!$B$40*世帯数!$I$40+世帯数!G32)</f>
        <v>#DIV/0!</v>
      </c>
    </row>
    <row r="33" spans="1:9" x14ac:dyDescent="0.4">
      <c r="A33" s="2" t="s">
        <v>71</v>
      </c>
      <c r="B33" s="6" t="e">
        <f t="shared" si="2"/>
        <v>#DIV/0!</v>
      </c>
      <c r="C33" s="2" t="e">
        <f>IF(世帯数!C33="-",0,世帯数!C33/世帯数!$B$40*世帯数!$I$40+世帯数!C33)</f>
        <v>#DIV/0!</v>
      </c>
      <c r="D33" s="2" t="e">
        <f>IF(世帯数!D33="-",0,世帯数!D33/世帯数!$B$40*世帯数!$I$40+世帯数!D33)</f>
        <v>#DIV/0!</v>
      </c>
      <c r="E33" s="2" t="e">
        <f>IF(世帯数!E33="-",0,世帯数!E33/世帯数!$B$40*世帯数!$I$40+世帯数!E33)</f>
        <v>#DIV/0!</v>
      </c>
      <c r="F33" s="2" t="e">
        <f>IF(世帯数!F33="-",0,世帯数!F33/世帯数!$B$40*世帯数!$I$40+世帯数!F33)</f>
        <v>#DIV/0!</v>
      </c>
      <c r="G33" s="2" t="e">
        <f>IF(世帯数!G33="-",0,世帯数!G33/世帯数!$B$40*世帯数!$I$40+世帯数!G33)</f>
        <v>#DIV/0!</v>
      </c>
    </row>
    <row r="34" spans="1:9" x14ac:dyDescent="0.4">
      <c r="A34" s="2" t="s">
        <v>72</v>
      </c>
      <c r="B34" s="6" t="e">
        <f t="shared" si="2"/>
        <v>#DIV/0!</v>
      </c>
      <c r="C34" s="2" t="e">
        <f>IF(世帯数!C34="-",0,世帯数!C34/世帯数!$B$40*世帯数!$I$40+世帯数!C34)</f>
        <v>#DIV/0!</v>
      </c>
      <c r="D34" s="2" t="e">
        <f>IF(世帯数!D34="-",0,世帯数!D34/世帯数!$B$40*世帯数!$I$40+世帯数!D34)</f>
        <v>#DIV/0!</v>
      </c>
      <c r="E34" s="2" t="e">
        <f>IF(世帯数!E34="-",0,世帯数!E34/世帯数!$B$40*世帯数!$I$40+世帯数!E34)</f>
        <v>#DIV/0!</v>
      </c>
      <c r="F34" s="2" t="e">
        <f>IF(世帯数!F34="-",0,世帯数!F34/世帯数!$B$40*世帯数!$I$40+世帯数!F34)</f>
        <v>#DIV/0!</v>
      </c>
      <c r="G34" s="2" t="e">
        <f>IF(世帯数!G34="-",0,世帯数!G34/世帯数!$B$40*世帯数!$I$40+世帯数!G34)</f>
        <v>#DIV/0!</v>
      </c>
    </row>
    <row r="35" spans="1:9" x14ac:dyDescent="0.4">
      <c r="A35" s="2" t="s">
        <v>73</v>
      </c>
      <c r="B35" s="6" t="e">
        <f t="shared" si="2"/>
        <v>#DIV/0!</v>
      </c>
      <c r="C35" s="2" t="e">
        <f>IF(世帯数!C35="-",0,世帯数!C35/世帯数!$B$40*世帯数!$I$40+世帯数!C35)</f>
        <v>#DIV/0!</v>
      </c>
      <c r="D35" s="2" t="e">
        <f>IF(世帯数!D35="-",0,世帯数!D35/世帯数!$B$40*世帯数!$I$40+世帯数!D35)</f>
        <v>#DIV/0!</v>
      </c>
      <c r="E35" s="2" t="e">
        <f>IF(世帯数!E35="-",0,世帯数!E35/世帯数!$B$40*世帯数!$I$40+世帯数!E35)</f>
        <v>#DIV/0!</v>
      </c>
      <c r="F35" s="2" t="e">
        <f>IF(世帯数!F35="-",0,世帯数!F35/世帯数!$B$40*世帯数!$I$40+世帯数!F35)</f>
        <v>#DIV/0!</v>
      </c>
      <c r="G35" s="2" t="e">
        <f>IF(世帯数!G35="-",0,世帯数!G35/世帯数!$B$40*世帯数!$I$40+世帯数!G35)</f>
        <v>#DIV/0!</v>
      </c>
    </row>
    <row r="36" spans="1:9" x14ac:dyDescent="0.4">
      <c r="A36" s="2" t="s">
        <v>74</v>
      </c>
      <c r="B36" s="6" t="e">
        <f t="shared" si="2"/>
        <v>#DIV/0!</v>
      </c>
      <c r="C36" s="2" t="e">
        <f>IF(世帯数!C36="-",0,世帯数!C36/世帯数!$B$40*世帯数!$I$40+世帯数!C36)</f>
        <v>#DIV/0!</v>
      </c>
      <c r="D36" s="2" t="e">
        <f>IF(世帯数!D36="-",0,世帯数!D36/世帯数!$B$40*世帯数!$I$40+世帯数!D36)</f>
        <v>#DIV/0!</v>
      </c>
      <c r="E36" s="2" t="e">
        <f>IF(世帯数!E36="-",0,世帯数!E36/世帯数!$B$40*世帯数!$I$40+世帯数!E36)</f>
        <v>#DIV/0!</v>
      </c>
      <c r="F36" s="2" t="e">
        <f>IF(世帯数!F36="-",0,世帯数!F36/世帯数!$B$40*世帯数!$I$40+世帯数!F36)</f>
        <v>#DIV/0!</v>
      </c>
      <c r="G36" s="2" t="e">
        <f>IF(世帯数!G36="-",0,世帯数!G36/世帯数!$B$40*世帯数!$I$40+世帯数!G36)</f>
        <v>#DIV/0!</v>
      </c>
    </row>
    <row r="37" spans="1:9" x14ac:dyDescent="0.4">
      <c r="A37" s="2" t="s">
        <v>75</v>
      </c>
      <c r="B37" s="6" t="e">
        <f t="shared" si="2"/>
        <v>#DIV/0!</v>
      </c>
      <c r="C37" s="2" t="e">
        <f>IF(世帯数!C37="-",0,世帯数!C37/世帯数!$B$40*世帯数!$I$40+世帯数!C37)</f>
        <v>#DIV/0!</v>
      </c>
      <c r="D37" s="2" t="e">
        <f>IF(世帯数!D37="-",0,世帯数!D37/世帯数!$B$40*世帯数!$I$40+世帯数!D37)</f>
        <v>#DIV/0!</v>
      </c>
      <c r="E37" s="2" t="e">
        <f>IF(世帯数!E37="-",0,世帯数!E37/世帯数!$B$40*世帯数!$I$40+世帯数!E37)</f>
        <v>#DIV/0!</v>
      </c>
      <c r="F37" s="2" t="e">
        <f>IF(世帯数!F37="-",0,世帯数!F37/世帯数!$B$40*世帯数!$I$40+世帯数!F37)</f>
        <v>#DIV/0!</v>
      </c>
      <c r="G37" s="2" t="e">
        <f>IF(世帯数!G37="-",0,世帯数!G37/世帯数!$B$40*世帯数!$I$40+世帯数!G37)</f>
        <v>#DIV/0!</v>
      </c>
    </row>
    <row r="38" spans="1:9" x14ac:dyDescent="0.4">
      <c r="A38" s="2" t="s">
        <v>76</v>
      </c>
      <c r="B38" s="6" t="e">
        <f t="shared" si="2"/>
        <v>#DIV/0!</v>
      </c>
      <c r="C38" s="2" t="e">
        <f>IF(世帯数!C38="-",0,世帯数!C38/世帯数!$B$40*世帯数!$I$40+世帯数!C38)</f>
        <v>#DIV/0!</v>
      </c>
      <c r="D38" s="2" t="e">
        <f>IF(世帯数!D38="-",0,世帯数!D38/世帯数!$B$40*世帯数!$I$40+世帯数!D38)</f>
        <v>#DIV/0!</v>
      </c>
      <c r="E38" s="2" t="e">
        <f>IF(世帯数!E38="-",0,世帯数!E38/世帯数!$B$40*世帯数!$I$40+世帯数!E38)</f>
        <v>#DIV/0!</v>
      </c>
      <c r="F38" s="2" t="e">
        <f>IF(世帯数!F38="-",0,世帯数!F38/世帯数!$B$40*世帯数!$I$40+世帯数!F38)</f>
        <v>#DIV/0!</v>
      </c>
      <c r="G38" s="2" t="e">
        <f>IF(世帯数!G38="-",0,世帯数!G38/世帯数!$B$40*世帯数!$I$40+世帯数!G38)</f>
        <v>#DIV/0!</v>
      </c>
    </row>
    <row r="39" spans="1:9" x14ac:dyDescent="0.4">
      <c r="A39" s="2" t="s">
        <v>88</v>
      </c>
      <c r="H39" s="6">
        <f>世帯数!H39</f>
        <v>0</v>
      </c>
    </row>
    <row r="40" spans="1:9" x14ac:dyDescent="0.4">
      <c r="A40" s="2" t="s">
        <v>84</v>
      </c>
      <c r="B40" s="6" t="e">
        <f t="shared" ref="B40:H40" si="3">SUM(B23:B39)</f>
        <v>#DIV/0!</v>
      </c>
      <c r="C40" s="6" t="e">
        <f t="shared" si="3"/>
        <v>#DIV/0!</v>
      </c>
      <c r="D40" s="6" t="e">
        <f t="shared" si="3"/>
        <v>#DIV/0!</v>
      </c>
      <c r="E40" s="6" t="e">
        <f t="shared" si="3"/>
        <v>#DIV/0!</v>
      </c>
      <c r="F40" s="6" t="e">
        <f t="shared" si="3"/>
        <v>#DIV/0!</v>
      </c>
      <c r="G40" s="6" t="e">
        <f t="shared" si="3"/>
        <v>#DIV/0!</v>
      </c>
      <c r="H40" s="6">
        <f t="shared" si="3"/>
        <v>0</v>
      </c>
    </row>
    <row r="41" spans="1:9" x14ac:dyDescent="0.4">
      <c r="A41" s="2"/>
    </row>
    <row r="42" spans="1:9" x14ac:dyDescent="0.4">
      <c r="A42" s="3" t="s">
        <v>87</v>
      </c>
      <c r="B42" s="2" t="s">
        <v>60</v>
      </c>
      <c r="C42" s="2" t="s">
        <v>77</v>
      </c>
      <c r="D42" s="2" t="s">
        <v>78</v>
      </c>
      <c r="E42" s="2" t="s">
        <v>79</v>
      </c>
      <c r="F42" s="2" t="s">
        <v>80</v>
      </c>
      <c r="G42" s="2" t="s">
        <v>81</v>
      </c>
      <c r="H42" s="2" t="s">
        <v>82</v>
      </c>
      <c r="I42" s="2"/>
    </row>
    <row r="43" spans="1:9" x14ac:dyDescent="0.4">
      <c r="A43" s="2" t="s">
        <v>61</v>
      </c>
      <c r="B43" s="6" t="e">
        <f>SUM(C43:G43)</f>
        <v>#DIV/0!</v>
      </c>
      <c r="C43" s="2" t="e">
        <f>IF(世帯数!C43="-",0,世帯数!C43/世帯数!$B$60*世帯数!$I$60+世帯数!C43)</f>
        <v>#DIV/0!</v>
      </c>
      <c r="D43" s="2" t="e">
        <f>IF(世帯数!D43="-",0,世帯数!D43/世帯数!$B$60*世帯数!$I$60+世帯数!D43)</f>
        <v>#DIV/0!</v>
      </c>
      <c r="E43" s="2" t="e">
        <f>IF(世帯数!E43="-",0,世帯数!E43/世帯数!$B$60*世帯数!$I$60+世帯数!E43)</f>
        <v>#DIV/0!</v>
      </c>
      <c r="F43" s="2" t="e">
        <f>IF(世帯数!F43="-",0,世帯数!F43/世帯数!$B$60*世帯数!$I$60+世帯数!F43)</f>
        <v>#DIV/0!</v>
      </c>
      <c r="G43" s="2" t="e">
        <f>IF(世帯数!G43="-",0,世帯数!G43/世帯数!$B$60*世帯数!$I$60+世帯数!G43)</f>
        <v>#DIV/0!</v>
      </c>
    </row>
    <row r="44" spans="1:9" x14ac:dyDescent="0.4">
      <c r="A44" s="2" t="s">
        <v>62</v>
      </c>
      <c r="B44" s="6" t="e">
        <f t="shared" ref="B44:B58" si="4">SUM(C44:G44)</f>
        <v>#DIV/0!</v>
      </c>
      <c r="C44" s="2" t="e">
        <f>IF(世帯数!C44="-",0,世帯数!C44/世帯数!$B$60*世帯数!$I$60+世帯数!C44)</f>
        <v>#DIV/0!</v>
      </c>
      <c r="D44" s="2" t="e">
        <f>IF(世帯数!D44="-",0,世帯数!D44/世帯数!$B$60*世帯数!$I$60+世帯数!D44)</f>
        <v>#DIV/0!</v>
      </c>
      <c r="E44" s="2" t="e">
        <f>IF(世帯数!E44="-",0,世帯数!E44/世帯数!$B$60*世帯数!$I$60+世帯数!E44)</f>
        <v>#DIV/0!</v>
      </c>
      <c r="F44" s="2" t="e">
        <f>IF(世帯数!F44="-",0,世帯数!F44/世帯数!$B$60*世帯数!$I$60+世帯数!F44)</f>
        <v>#DIV/0!</v>
      </c>
      <c r="G44" s="2" t="e">
        <f>IF(世帯数!G44="-",0,世帯数!G44/世帯数!$B$60*世帯数!$I$60+世帯数!G44)</f>
        <v>#DIV/0!</v>
      </c>
    </row>
    <row r="45" spans="1:9" x14ac:dyDescent="0.4">
      <c r="A45" s="2" t="s">
        <v>63</v>
      </c>
      <c r="B45" s="6" t="e">
        <f t="shared" si="4"/>
        <v>#DIV/0!</v>
      </c>
      <c r="C45" s="2" t="e">
        <f>IF(世帯数!C45="-",0,世帯数!C45/世帯数!$B$60*世帯数!$I$60+世帯数!C45)</f>
        <v>#DIV/0!</v>
      </c>
      <c r="D45" s="2" t="e">
        <f>IF(世帯数!D45="-",0,世帯数!D45/世帯数!$B$60*世帯数!$I$60+世帯数!D45)</f>
        <v>#DIV/0!</v>
      </c>
      <c r="E45" s="2" t="e">
        <f>IF(世帯数!E45="-",0,世帯数!E45/世帯数!$B$60*世帯数!$I$60+世帯数!E45)</f>
        <v>#DIV/0!</v>
      </c>
      <c r="F45" s="2" t="e">
        <f>IF(世帯数!F45="-",0,世帯数!F45/世帯数!$B$60*世帯数!$I$60+世帯数!F45)</f>
        <v>#DIV/0!</v>
      </c>
      <c r="G45" s="2" t="e">
        <f>IF(世帯数!G45="-",0,世帯数!G45/世帯数!$B$60*世帯数!$I$60+世帯数!G45)</f>
        <v>#DIV/0!</v>
      </c>
    </row>
    <row r="46" spans="1:9" x14ac:dyDescent="0.4">
      <c r="A46" s="2" t="s">
        <v>64</v>
      </c>
      <c r="B46" s="6" t="e">
        <f t="shared" si="4"/>
        <v>#DIV/0!</v>
      </c>
      <c r="C46" s="2" t="e">
        <f>IF(世帯数!C46="-",0,世帯数!C46/世帯数!$B$60*世帯数!$I$60+世帯数!C46)</f>
        <v>#DIV/0!</v>
      </c>
      <c r="D46" s="2" t="e">
        <f>IF(世帯数!D46="-",0,世帯数!D46/世帯数!$B$60*世帯数!$I$60+世帯数!D46)</f>
        <v>#DIV/0!</v>
      </c>
      <c r="E46" s="2" t="e">
        <f>IF(世帯数!E46="-",0,世帯数!E46/世帯数!$B$60*世帯数!$I$60+世帯数!E46)</f>
        <v>#DIV/0!</v>
      </c>
      <c r="F46" s="2" t="e">
        <f>IF(世帯数!F46="-",0,世帯数!F46/世帯数!$B$60*世帯数!$I$60+世帯数!F46)</f>
        <v>#DIV/0!</v>
      </c>
      <c r="G46" s="2" t="e">
        <f>IF(世帯数!G46="-",0,世帯数!G46/世帯数!$B$60*世帯数!$I$60+世帯数!G46)</f>
        <v>#DIV/0!</v>
      </c>
    </row>
    <row r="47" spans="1:9" x14ac:dyDescent="0.4">
      <c r="A47" s="2" t="s">
        <v>65</v>
      </c>
      <c r="B47" s="6" t="e">
        <f t="shared" si="4"/>
        <v>#DIV/0!</v>
      </c>
      <c r="C47" s="2" t="e">
        <f>IF(世帯数!C47="-",0,世帯数!C47/世帯数!$B$60*世帯数!$I$60+世帯数!C47)</f>
        <v>#DIV/0!</v>
      </c>
      <c r="D47" s="2" t="e">
        <f>IF(世帯数!D47="-",0,世帯数!D47/世帯数!$B$60*世帯数!$I$60+世帯数!D47)</f>
        <v>#DIV/0!</v>
      </c>
      <c r="E47" s="2" t="e">
        <f>IF(世帯数!E47="-",0,世帯数!E47/世帯数!$B$60*世帯数!$I$60+世帯数!E47)</f>
        <v>#DIV/0!</v>
      </c>
      <c r="F47" s="2" t="e">
        <f>IF(世帯数!F47="-",0,世帯数!F47/世帯数!$B$60*世帯数!$I$60+世帯数!F47)</f>
        <v>#DIV/0!</v>
      </c>
      <c r="G47" s="2" t="e">
        <f>IF(世帯数!G47="-",0,世帯数!G47/世帯数!$B$60*世帯数!$I$60+世帯数!G47)</f>
        <v>#DIV/0!</v>
      </c>
    </row>
    <row r="48" spans="1:9" x14ac:dyDescent="0.4">
      <c r="A48" s="2" t="s">
        <v>66</v>
      </c>
      <c r="B48" s="6" t="e">
        <f t="shared" si="4"/>
        <v>#DIV/0!</v>
      </c>
      <c r="C48" s="2" t="e">
        <f>IF(世帯数!C48="-",0,世帯数!C48/世帯数!$B$60*世帯数!$I$60+世帯数!C48)</f>
        <v>#DIV/0!</v>
      </c>
      <c r="D48" s="2" t="e">
        <f>IF(世帯数!D48="-",0,世帯数!D48/世帯数!$B$60*世帯数!$I$60+世帯数!D48)</f>
        <v>#DIV/0!</v>
      </c>
      <c r="E48" s="2" t="e">
        <f>IF(世帯数!E48="-",0,世帯数!E48/世帯数!$B$60*世帯数!$I$60+世帯数!E48)</f>
        <v>#DIV/0!</v>
      </c>
      <c r="F48" s="2" t="e">
        <f>IF(世帯数!F48="-",0,世帯数!F48/世帯数!$B$60*世帯数!$I$60+世帯数!F48)</f>
        <v>#DIV/0!</v>
      </c>
      <c r="G48" s="2" t="e">
        <f>IF(世帯数!G48="-",0,世帯数!G48/世帯数!$B$60*世帯数!$I$60+世帯数!G48)</f>
        <v>#DIV/0!</v>
      </c>
    </row>
    <row r="49" spans="1:8" x14ac:dyDescent="0.4">
      <c r="A49" s="2" t="s">
        <v>67</v>
      </c>
      <c r="B49" s="6" t="e">
        <f t="shared" si="4"/>
        <v>#DIV/0!</v>
      </c>
      <c r="C49" s="2" t="e">
        <f>IF(世帯数!C49="-",0,世帯数!C49/世帯数!$B$60*世帯数!$I$60+世帯数!C49)</f>
        <v>#DIV/0!</v>
      </c>
      <c r="D49" s="2" t="e">
        <f>IF(世帯数!D49="-",0,世帯数!D49/世帯数!$B$60*世帯数!$I$60+世帯数!D49)</f>
        <v>#DIV/0!</v>
      </c>
      <c r="E49" s="2" t="e">
        <f>IF(世帯数!E49="-",0,世帯数!E49/世帯数!$B$60*世帯数!$I$60+世帯数!E49)</f>
        <v>#DIV/0!</v>
      </c>
      <c r="F49" s="2" t="e">
        <f>IF(世帯数!F49="-",0,世帯数!F49/世帯数!$B$60*世帯数!$I$60+世帯数!F49)</f>
        <v>#DIV/0!</v>
      </c>
      <c r="G49" s="2" t="e">
        <f>IF(世帯数!G49="-",0,世帯数!G49/世帯数!$B$60*世帯数!$I$60+世帯数!G49)</f>
        <v>#DIV/0!</v>
      </c>
    </row>
    <row r="50" spans="1:8" x14ac:dyDescent="0.4">
      <c r="A50" s="2" t="s">
        <v>68</v>
      </c>
      <c r="B50" s="6" t="e">
        <f t="shared" si="4"/>
        <v>#DIV/0!</v>
      </c>
      <c r="C50" s="2" t="e">
        <f>IF(世帯数!C50="-",0,世帯数!C50/世帯数!$B$60*世帯数!$I$60+世帯数!C50)</f>
        <v>#DIV/0!</v>
      </c>
      <c r="D50" s="2" t="e">
        <f>IF(世帯数!D50="-",0,世帯数!D50/世帯数!$B$60*世帯数!$I$60+世帯数!D50)</f>
        <v>#DIV/0!</v>
      </c>
      <c r="E50" s="2" t="e">
        <f>IF(世帯数!E50="-",0,世帯数!E50/世帯数!$B$60*世帯数!$I$60+世帯数!E50)</f>
        <v>#DIV/0!</v>
      </c>
      <c r="F50" s="2" t="e">
        <f>IF(世帯数!F50="-",0,世帯数!F50/世帯数!$B$60*世帯数!$I$60+世帯数!F50)</f>
        <v>#DIV/0!</v>
      </c>
      <c r="G50" s="2" t="e">
        <f>IF(世帯数!G50="-",0,世帯数!G50/世帯数!$B$60*世帯数!$I$60+世帯数!G50)</f>
        <v>#DIV/0!</v>
      </c>
    </row>
    <row r="51" spans="1:8" x14ac:dyDescent="0.4">
      <c r="A51" s="2" t="s">
        <v>69</v>
      </c>
      <c r="B51" s="6" t="e">
        <f t="shared" si="4"/>
        <v>#DIV/0!</v>
      </c>
      <c r="C51" s="2" t="e">
        <f>IF(世帯数!C51="-",0,世帯数!C51/世帯数!$B$60*世帯数!$I$60+世帯数!C51)</f>
        <v>#DIV/0!</v>
      </c>
      <c r="D51" s="2" t="e">
        <f>IF(世帯数!D51="-",0,世帯数!D51/世帯数!$B$60*世帯数!$I$60+世帯数!D51)</f>
        <v>#DIV/0!</v>
      </c>
      <c r="E51" s="2" t="e">
        <f>IF(世帯数!E51="-",0,世帯数!E51/世帯数!$B$60*世帯数!$I$60+世帯数!E51)</f>
        <v>#DIV/0!</v>
      </c>
      <c r="F51" s="2" t="e">
        <f>IF(世帯数!F51="-",0,世帯数!F51/世帯数!$B$60*世帯数!$I$60+世帯数!F51)</f>
        <v>#DIV/0!</v>
      </c>
      <c r="G51" s="2" t="e">
        <f>IF(世帯数!G51="-",0,世帯数!G51/世帯数!$B$60*世帯数!$I$60+世帯数!G51)</f>
        <v>#DIV/0!</v>
      </c>
    </row>
    <row r="52" spans="1:8" x14ac:dyDescent="0.4">
      <c r="A52" s="2" t="s">
        <v>70</v>
      </c>
      <c r="B52" s="6" t="e">
        <f t="shared" si="4"/>
        <v>#DIV/0!</v>
      </c>
      <c r="C52" s="2" t="e">
        <f>IF(世帯数!C52="-",0,世帯数!C52/世帯数!$B$60*世帯数!$I$60+世帯数!C52)</f>
        <v>#DIV/0!</v>
      </c>
      <c r="D52" s="2" t="e">
        <f>IF(世帯数!D52="-",0,世帯数!D52/世帯数!$B$60*世帯数!$I$60+世帯数!D52)</f>
        <v>#DIV/0!</v>
      </c>
      <c r="E52" s="2" t="e">
        <f>IF(世帯数!E52="-",0,世帯数!E52/世帯数!$B$60*世帯数!$I$60+世帯数!E52)</f>
        <v>#DIV/0!</v>
      </c>
      <c r="F52" s="2" t="e">
        <f>IF(世帯数!F52="-",0,世帯数!F52/世帯数!$B$60*世帯数!$I$60+世帯数!F52)</f>
        <v>#DIV/0!</v>
      </c>
      <c r="G52" s="2" t="e">
        <f>IF(世帯数!G52="-",0,世帯数!G52/世帯数!$B$60*世帯数!$I$60+世帯数!G52)</f>
        <v>#DIV/0!</v>
      </c>
    </row>
    <row r="53" spans="1:8" x14ac:dyDescent="0.4">
      <c r="A53" s="2" t="s">
        <v>71</v>
      </c>
      <c r="B53" s="6" t="e">
        <f t="shared" si="4"/>
        <v>#DIV/0!</v>
      </c>
      <c r="C53" s="2" t="e">
        <f>IF(世帯数!C53="-",0,世帯数!C53/世帯数!$B$60*世帯数!$I$60+世帯数!C53)</f>
        <v>#DIV/0!</v>
      </c>
      <c r="D53" s="2" t="e">
        <f>IF(世帯数!D53="-",0,世帯数!D53/世帯数!$B$60*世帯数!$I$60+世帯数!D53)</f>
        <v>#DIV/0!</v>
      </c>
      <c r="E53" s="2" t="e">
        <f>IF(世帯数!E53="-",0,世帯数!E53/世帯数!$B$60*世帯数!$I$60+世帯数!E53)</f>
        <v>#DIV/0!</v>
      </c>
      <c r="F53" s="2" t="e">
        <f>IF(世帯数!F53="-",0,世帯数!F53/世帯数!$B$60*世帯数!$I$60+世帯数!F53)</f>
        <v>#DIV/0!</v>
      </c>
      <c r="G53" s="2" t="e">
        <f>IF(世帯数!G53="-",0,世帯数!G53/世帯数!$B$60*世帯数!$I$60+世帯数!G53)</f>
        <v>#DIV/0!</v>
      </c>
    </row>
    <row r="54" spans="1:8" x14ac:dyDescent="0.4">
      <c r="A54" s="2" t="s">
        <v>72</v>
      </c>
      <c r="B54" s="6" t="e">
        <f t="shared" si="4"/>
        <v>#DIV/0!</v>
      </c>
      <c r="C54" s="2" t="e">
        <f>IF(世帯数!C54="-",0,世帯数!C54/世帯数!$B$60*世帯数!$I$60+世帯数!C54)</f>
        <v>#DIV/0!</v>
      </c>
      <c r="D54" s="2" t="e">
        <f>IF(世帯数!D54="-",0,世帯数!D54/世帯数!$B$60*世帯数!$I$60+世帯数!D54)</f>
        <v>#DIV/0!</v>
      </c>
      <c r="E54" s="2" t="e">
        <f>IF(世帯数!E54="-",0,世帯数!E54/世帯数!$B$60*世帯数!$I$60+世帯数!E54)</f>
        <v>#DIV/0!</v>
      </c>
      <c r="F54" s="2" t="e">
        <f>IF(世帯数!F54="-",0,世帯数!F54/世帯数!$B$60*世帯数!$I$60+世帯数!F54)</f>
        <v>#DIV/0!</v>
      </c>
      <c r="G54" s="2" t="e">
        <f>IF(世帯数!G54="-",0,世帯数!G54/世帯数!$B$60*世帯数!$I$60+世帯数!G54)</f>
        <v>#DIV/0!</v>
      </c>
    </row>
    <row r="55" spans="1:8" x14ac:dyDescent="0.4">
      <c r="A55" s="2" t="s">
        <v>73</v>
      </c>
      <c r="B55" s="6" t="e">
        <f t="shared" si="4"/>
        <v>#DIV/0!</v>
      </c>
      <c r="C55" s="2" t="e">
        <f>IF(世帯数!C55="-",0,世帯数!C55/世帯数!$B$60*世帯数!$I$60+世帯数!C55)</f>
        <v>#DIV/0!</v>
      </c>
      <c r="D55" s="2" t="e">
        <f>IF(世帯数!D55="-",0,世帯数!D55/世帯数!$B$60*世帯数!$I$60+世帯数!D55)</f>
        <v>#DIV/0!</v>
      </c>
      <c r="E55" s="2" t="e">
        <f>IF(世帯数!E55="-",0,世帯数!E55/世帯数!$B$60*世帯数!$I$60+世帯数!E55)</f>
        <v>#DIV/0!</v>
      </c>
      <c r="F55" s="2" t="e">
        <f>IF(世帯数!F55="-",0,世帯数!F55/世帯数!$B$60*世帯数!$I$60+世帯数!F55)</f>
        <v>#DIV/0!</v>
      </c>
      <c r="G55" s="2" t="e">
        <f>IF(世帯数!G55="-",0,世帯数!G55/世帯数!$B$60*世帯数!$I$60+世帯数!G55)</f>
        <v>#DIV/0!</v>
      </c>
    </row>
    <row r="56" spans="1:8" x14ac:dyDescent="0.4">
      <c r="A56" s="2" t="s">
        <v>74</v>
      </c>
      <c r="B56" s="6" t="e">
        <f t="shared" si="4"/>
        <v>#DIV/0!</v>
      </c>
      <c r="C56" s="2" t="e">
        <f>IF(世帯数!C56="-",0,世帯数!C56/世帯数!$B$60*世帯数!$I$60+世帯数!C56)</f>
        <v>#DIV/0!</v>
      </c>
      <c r="D56" s="2" t="e">
        <f>IF(世帯数!D56="-",0,世帯数!D56/世帯数!$B$60*世帯数!$I$60+世帯数!D56)</f>
        <v>#DIV/0!</v>
      </c>
      <c r="E56" s="2" t="e">
        <f>IF(世帯数!E56="-",0,世帯数!E56/世帯数!$B$60*世帯数!$I$60+世帯数!E56)</f>
        <v>#DIV/0!</v>
      </c>
      <c r="F56" s="2" t="e">
        <f>IF(世帯数!F56="-",0,世帯数!F56/世帯数!$B$60*世帯数!$I$60+世帯数!F56)</f>
        <v>#DIV/0!</v>
      </c>
      <c r="G56" s="2" t="e">
        <f>IF(世帯数!G56="-",0,世帯数!G56/世帯数!$B$60*世帯数!$I$60+世帯数!G56)</f>
        <v>#DIV/0!</v>
      </c>
    </row>
    <row r="57" spans="1:8" x14ac:dyDescent="0.4">
      <c r="A57" s="2" t="s">
        <v>75</v>
      </c>
      <c r="B57" s="6" t="e">
        <f t="shared" si="4"/>
        <v>#DIV/0!</v>
      </c>
      <c r="C57" s="2" t="e">
        <f>IF(世帯数!C57="-",0,世帯数!C57/世帯数!$B$60*世帯数!$I$60+世帯数!C57)</f>
        <v>#DIV/0!</v>
      </c>
      <c r="D57" s="2" t="e">
        <f>IF(世帯数!D57="-",0,世帯数!D57/世帯数!$B$60*世帯数!$I$60+世帯数!D57)</f>
        <v>#DIV/0!</v>
      </c>
      <c r="E57" s="2" t="e">
        <f>IF(世帯数!E57="-",0,世帯数!E57/世帯数!$B$60*世帯数!$I$60+世帯数!E57)</f>
        <v>#DIV/0!</v>
      </c>
      <c r="F57" s="2" t="e">
        <f>IF(世帯数!F57="-",0,世帯数!F57/世帯数!$B$60*世帯数!$I$60+世帯数!F57)</f>
        <v>#DIV/0!</v>
      </c>
      <c r="G57" s="2" t="e">
        <f>IF(世帯数!G57="-",0,世帯数!G57/世帯数!$B$60*世帯数!$I$60+世帯数!G57)</f>
        <v>#DIV/0!</v>
      </c>
    </row>
    <row r="58" spans="1:8" x14ac:dyDescent="0.4">
      <c r="A58" s="2" t="s">
        <v>76</v>
      </c>
      <c r="B58" s="6" t="e">
        <f t="shared" si="4"/>
        <v>#DIV/0!</v>
      </c>
      <c r="C58" s="2" t="e">
        <f>IF(世帯数!C58="-",0,世帯数!C58/世帯数!$B$60*世帯数!$I$60+世帯数!C58)</f>
        <v>#DIV/0!</v>
      </c>
      <c r="D58" s="2" t="e">
        <f>IF(世帯数!D58="-",0,世帯数!D58/世帯数!$B$60*世帯数!$I$60+世帯数!D58)</f>
        <v>#DIV/0!</v>
      </c>
      <c r="E58" s="2" t="e">
        <f>IF(世帯数!E58="-",0,世帯数!E58/世帯数!$B$60*世帯数!$I$60+世帯数!E58)</f>
        <v>#DIV/0!</v>
      </c>
      <c r="F58" s="2" t="e">
        <f>IF(世帯数!F58="-",0,世帯数!F58/世帯数!$B$60*世帯数!$I$60+世帯数!F58)</f>
        <v>#DIV/0!</v>
      </c>
      <c r="G58" s="2" t="e">
        <f>IF(世帯数!G58="-",0,世帯数!G58/世帯数!$B$60*世帯数!$I$60+世帯数!G58)</f>
        <v>#DIV/0!</v>
      </c>
    </row>
    <row r="59" spans="1:8" x14ac:dyDescent="0.4">
      <c r="A59" s="2" t="s">
        <v>88</v>
      </c>
      <c r="H59" s="6">
        <f>世帯数!H59</f>
        <v>0</v>
      </c>
    </row>
    <row r="60" spans="1:8" x14ac:dyDescent="0.4">
      <c r="A60" s="2" t="s">
        <v>84</v>
      </c>
      <c r="B60" s="6" t="e">
        <f t="shared" ref="B60:G60" si="5">SUM(B43:B59)</f>
        <v>#DIV/0!</v>
      </c>
      <c r="C60" s="6" t="e">
        <f t="shared" si="5"/>
        <v>#DIV/0!</v>
      </c>
      <c r="D60" s="6" t="e">
        <f t="shared" si="5"/>
        <v>#DIV/0!</v>
      </c>
      <c r="E60" s="6" t="e">
        <f t="shared" si="5"/>
        <v>#DIV/0!</v>
      </c>
      <c r="F60" s="6" t="e">
        <f t="shared" si="5"/>
        <v>#DIV/0!</v>
      </c>
      <c r="G60" s="6" t="e">
        <f t="shared" si="5"/>
        <v>#DIV/0!</v>
      </c>
      <c r="H60" s="6">
        <f>SUM(H43:H59)</f>
        <v>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0E1E-81EA-42D6-8326-0AF00B97E147}">
  <sheetPr codeName="Sheet2"/>
  <dimension ref="A1:BG60"/>
  <sheetViews>
    <sheetView workbookViewId="0"/>
  </sheetViews>
  <sheetFormatPr defaultRowHeight="18.75" x14ac:dyDescent="0.4"/>
  <cols>
    <col min="1" max="9" width="9" style="2"/>
    <col min="10" max="10" width="2.875" style="2" customWidth="1"/>
    <col min="11" max="19" width="9" style="2"/>
    <col min="20" max="20" width="2.875" style="2" customWidth="1"/>
    <col min="21" max="29" width="9" style="2"/>
    <col min="30" max="30" width="2.875" style="2" customWidth="1"/>
    <col min="31" max="39" width="9" style="2"/>
    <col min="40" max="40" width="2.875" style="2" customWidth="1"/>
    <col min="41" max="49" width="9" style="2"/>
    <col min="50" max="50" width="2.875" style="2" customWidth="1"/>
    <col min="51" max="16384" width="9" style="2"/>
  </cols>
  <sheetData>
    <row r="1" spans="1:59" s="7" customFormat="1" x14ac:dyDescent="0.4">
      <c r="A1" s="4" t="str">
        <f>main!G6</f>
        <v>新潟市</v>
      </c>
      <c r="B1" s="7" t="s">
        <v>89</v>
      </c>
      <c r="K1" s="4" t="str">
        <f>main!H6</f>
        <v>巻町</v>
      </c>
      <c r="L1" s="7" t="s">
        <v>89</v>
      </c>
      <c r="U1" s="4">
        <f>main!I6</f>
        <v>0</v>
      </c>
      <c r="V1" s="7" t="s">
        <v>89</v>
      </c>
      <c r="AE1" s="4">
        <f>main!J6</f>
        <v>0</v>
      </c>
      <c r="AF1" s="7" t="s">
        <v>89</v>
      </c>
      <c r="AO1" s="4">
        <f>main!K6</f>
        <v>0</v>
      </c>
      <c r="AP1" s="7" t="s">
        <v>89</v>
      </c>
      <c r="AY1" s="4">
        <f>main!L6</f>
        <v>0</v>
      </c>
      <c r="AZ1" s="7" t="s">
        <v>89</v>
      </c>
    </row>
    <row r="2" spans="1:59" x14ac:dyDescent="0.4">
      <c r="A2" s="3" t="s">
        <v>85</v>
      </c>
      <c r="B2" s="2" t="s">
        <v>60</v>
      </c>
      <c r="C2" s="2" t="s">
        <v>77</v>
      </c>
      <c r="D2" s="2" t="s">
        <v>78</v>
      </c>
      <c r="E2" s="2" t="s">
        <v>79</v>
      </c>
      <c r="F2" s="2" t="s">
        <v>80</v>
      </c>
      <c r="G2" s="2" t="s">
        <v>81</v>
      </c>
      <c r="H2" s="2" t="s">
        <v>82</v>
      </c>
      <c r="I2" s="2" t="s">
        <v>83</v>
      </c>
      <c r="K2" s="3" t="s">
        <v>85</v>
      </c>
      <c r="L2" s="2" t="s">
        <v>60</v>
      </c>
      <c r="M2" s="2" t="s">
        <v>77</v>
      </c>
      <c r="N2" s="2" t="s">
        <v>78</v>
      </c>
      <c r="O2" s="2" t="s">
        <v>79</v>
      </c>
      <c r="P2" s="2" t="s">
        <v>80</v>
      </c>
      <c r="Q2" s="2" t="s">
        <v>81</v>
      </c>
      <c r="R2" s="2" t="s">
        <v>82</v>
      </c>
      <c r="S2" s="2" t="s">
        <v>83</v>
      </c>
      <c r="U2" s="3" t="s">
        <v>85</v>
      </c>
      <c r="V2" s="2" t="s">
        <v>60</v>
      </c>
      <c r="W2" s="2" t="s">
        <v>77</v>
      </c>
      <c r="X2" s="2" t="s">
        <v>78</v>
      </c>
      <c r="Y2" s="2" t="s">
        <v>79</v>
      </c>
      <c r="Z2" s="2" t="s">
        <v>80</v>
      </c>
      <c r="AA2" s="2" t="s">
        <v>81</v>
      </c>
      <c r="AB2" s="2" t="s">
        <v>82</v>
      </c>
      <c r="AC2" s="2" t="s">
        <v>83</v>
      </c>
      <c r="AE2" s="3" t="s">
        <v>85</v>
      </c>
      <c r="AF2" s="2" t="s">
        <v>60</v>
      </c>
      <c r="AG2" s="2" t="s">
        <v>77</v>
      </c>
      <c r="AH2" s="2" t="s">
        <v>78</v>
      </c>
      <c r="AI2" s="2" t="s">
        <v>79</v>
      </c>
      <c r="AJ2" s="2" t="s">
        <v>80</v>
      </c>
      <c r="AK2" s="2" t="s">
        <v>81</v>
      </c>
      <c r="AL2" s="2" t="s">
        <v>82</v>
      </c>
      <c r="AM2" s="2" t="s">
        <v>83</v>
      </c>
      <c r="AO2" s="3" t="s">
        <v>85</v>
      </c>
      <c r="AP2" s="2" t="s">
        <v>60</v>
      </c>
      <c r="AQ2" s="2" t="s">
        <v>77</v>
      </c>
      <c r="AR2" s="2" t="s">
        <v>78</v>
      </c>
      <c r="AS2" s="2" t="s">
        <v>79</v>
      </c>
      <c r="AT2" s="2" t="s">
        <v>80</v>
      </c>
      <c r="AU2" s="2" t="s">
        <v>81</v>
      </c>
      <c r="AV2" s="2" t="s">
        <v>82</v>
      </c>
      <c r="AW2" s="2" t="s">
        <v>83</v>
      </c>
      <c r="AY2" s="3" t="s">
        <v>85</v>
      </c>
      <c r="AZ2" s="2" t="s">
        <v>60</v>
      </c>
      <c r="BA2" s="2" t="s">
        <v>77</v>
      </c>
      <c r="BB2" s="2" t="s">
        <v>78</v>
      </c>
      <c r="BC2" s="2" t="s">
        <v>79</v>
      </c>
      <c r="BD2" s="2" t="s">
        <v>80</v>
      </c>
      <c r="BE2" s="2" t="s">
        <v>81</v>
      </c>
      <c r="BF2" s="2" t="s">
        <v>82</v>
      </c>
      <c r="BG2" s="2" t="s">
        <v>83</v>
      </c>
    </row>
    <row r="3" spans="1:59" x14ac:dyDescent="0.4">
      <c r="A3" s="2" t="s">
        <v>61</v>
      </c>
      <c r="K3" s="2" t="s">
        <v>61</v>
      </c>
      <c r="U3" s="2" t="s">
        <v>61</v>
      </c>
      <c r="AE3" s="2" t="s">
        <v>61</v>
      </c>
      <c r="AO3" s="2" t="s">
        <v>61</v>
      </c>
      <c r="AY3" s="2" t="s">
        <v>61</v>
      </c>
    </row>
    <row r="4" spans="1:59" x14ac:dyDescent="0.4">
      <c r="A4" s="2" t="s">
        <v>62</v>
      </c>
      <c r="K4" s="2" t="s">
        <v>62</v>
      </c>
      <c r="U4" s="2" t="s">
        <v>62</v>
      </c>
      <c r="AE4" s="2" t="s">
        <v>62</v>
      </c>
      <c r="AO4" s="2" t="s">
        <v>62</v>
      </c>
      <c r="AY4" s="2" t="s">
        <v>62</v>
      </c>
    </row>
    <row r="5" spans="1:59" x14ac:dyDescent="0.4">
      <c r="A5" s="2" t="s">
        <v>63</v>
      </c>
      <c r="K5" s="2" t="s">
        <v>63</v>
      </c>
      <c r="U5" s="2" t="s">
        <v>63</v>
      </c>
      <c r="AE5" s="2" t="s">
        <v>63</v>
      </c>
      <c r="AO5" s="2" t="s">
        <v>63</v>
      </c>
      <c r="AY5" s="2" t="s">
        <v>63</v>
      </c>
    </row>
    <row r="6" spans="1:59" x14ac:dyDescent="0.4">
      <c r="A6" s="2" t="s">
        <v>64</v>
      </c>
      <c r="K6" s="2" t="s">
        <v>64</v>
      </c>
      <c r="U6" s="2" t="s">
        <v>64</v>
      </c>
      <c r="AE6" s="2" t="s">
        <v>64</v>
      </c>
      <c r="AO6" s="2" t="s">
        <v>64</v>
      </c>
      <c r="AY6" s="2" t="s">
        <v>64</v>
      </c>
    </row>
    <row r="7" spans="1:59" x14ac:dyDescent="0.4">
      <c r="A7" s="2" t="s">
        <v>65</v>
      </c>
      <c r="K7" s="2" t="s">
        <v>65</v>
      </c>
      <c r="U7" s="2" t="s">
        <v>65</v>
      </c>
      <c r="AE7" s="2" t="s">
        <v>65</v>
      </c>
      <c r="AO7" s="2" t="s">
        <v>65</v>
      </c>
      <c r="AY7" s="2" t="s">
        <v>65</v>
      </c>
    </row>
    <row r="8" spans="1:59" x14ac:dyDescent="0.4">
      <c r="A8" s="2" t="s">
        <v>66</v>
      </c>
      <c r="K8" s="2" t="s">
        <v>66</v>
      </c>
      <c r="U8" s="2" t="s">
        <v>66</v>
      </c>
      <c r="AE8" s="2" t="s">
        <v>66</v>
      </c>
      <c r="AO8" s="2" t="s">
        <v>66</v>
      </c>
      <c r="AY8" s="2" t="s">
        <v>66</v>
      </c>
    </row>
    <row r="9" spans="1:59" x14ac:dyDescent="0.4">
      <c r="A9" s="2" t="s">
        <v>67</v>
      </c>
      <c r="K9" s="2" t="s">
        <v>67</v>
      </c>
      <c r="U9" s="2" t="s">
        <v>67</v>
      </c>
      <c r="AE9" s="2" t="s">
        <v>67</v>
      </c>
      <c r="AO9" s="2" t="s">
        <v>67</v>
      </c>
      <c r="AY9" s="2" t="s">
        <v>67</v>
      </c>
    </row>
    <row r="10" spans="1:59" x14ac:dyDescent="0.4">
      <c r="A10" s="2" t="s">
        <v>68</v>
      </c>
      <c r="K10" s="2" t="s">
        <v>68</v>
      </c>
      <c r="U10" s="2" t="s">
        <v>68</v>
      </c>
      <c r="AE10" s="2" t="s">
        <v>68</v>
      </c>
      <c r="AO10" s="2" t="s">
        <v>68</v>
      </c>
      <c r="AY10" s="2" t="s">
        <v>68</v>
      </c>
    </row>
    <row r="11" spans="1:59" x14ac:dyDescent="0.4">
      <c r="A11" s="2" t="s">
        <v>69</v>
      </c>
      <c r="K11" s="2" t="s">
        <v>69</v>
      </c>
      <c r="U11" s="2" t="s">
        <v>69</v>
      </c>
      <c r="AE11" s="2" t="s">
        <v>69</v>
      </c>
      <c r="AO11" s="2" t="s">
        <v>69</v>
      </c>
      <c r="AY11" s="2" t="s">
        <v>69</v>
      </c>
    </row>
    <row r="12" spans="1:59" x14ac:dyDescent="0.4">
      <c r="A12" s="2" t="s">
        <v>70</v>
      </c>
      <c r="K12" s="2" t="s">
        <v>70</v>
      </c>
      <c r="U12" s="2" t="s">
        <v>70</v>
      </c>
      <c r="AE12" s="2" t="s">
        <v>70</v>
      </c>
      <c r="AO12" s="2" t="s">
        <v>70</v>
      </c>
      <c r="AY12" s="2" t="s">
        <v>70</v>
      </c>
    </row>
    <row r="13" spans="1:59" x14ac:dyDescent="0.4">
      <c r="A13" s="2" t="s">
        <v>71</v>
      </c>
      <c r="K13" s="2" t="s">
        <v>71</v>
      </c>
      <c r="U13" s="2" t="s">
        <v>71</v>
      </c>
      <c r="AE13" s="2" t="s">
        <v>71</v>
      </c>
      <c r="AO13" s="2" t="s">
        <v>71</v>
      </c>
      <c r="AY13" s="2" t="s">
        <v>71</v>
      </c>
    </row>
    <row r="14" spans="1:59" x14ac:dyDescent="0.4">
      <c r="A14" s="2" t="s">
        <v>72</v>
      </c>
      <c r="K14" s="2" t="s">
        <v>72</v>
      </c>
      <c r="U14" s="2" t="s">
        <v>72</v>
      </c>
      <c r="AE14" s="2" t="s">
        <v>72</v>
      </c>
      <c r="AO14" s="2" t="s">
        <v>72</v>
      </c>
      <c r="AY14" s="2" t="s">
        <v>72</v>
      </c>
    </row>
    <row r="15" spans="1:59" x14ac:dyDescent="0.4">
      <c r="A15" s="2" t="s">
        <v>73</v>
      </c>
      <c r="K15" s="2" t="s">
        <v>73</v>
      </c>
      <c r="U15" s="2" t="s">
        <v>73</v>
      </c>
      <c r="AE15" s="2" t="s">
        <v>73</v>
      </c>
      <c r="AO15" s="2" t="s">
        <v>73</v>
      </c>
      <c r="AY15" s="2" t="s">
        <v>73</v>
      </c>
    </row>
    <row r="16" spans="1:59" x14ac:dyDescent="0.4">
      <c r="A16" s="2" t="s">
        <v>74</v>
      </c>
      <c r="K16" s="2" t="s">
        <v>74</v>
      </c>
      <c r="U16" s="2" t="s">
        <v>74</v>
      </c>
      <c r="AE16" s="2" t="s">
        <v>74</v>
      </c>
      <c r="AO16" s="2" t="s">
        <v>74</v>
      </c>
      <c r="AY16" s="2" t="s">
        <v>74</v>
      </c>
    </row>
    <row r="17" spans="1:51" x14ac:dyDescent="0.4">
      <c r="A17" s="2" t="s">
        <v>75</v>
      </c>
      <c r="K17" s="2" t="s">
        <v>75</v>
      </c>
      <c r="U17" s="2" t="s">
        <v>75</v>
      </c>
      <c r="AE17" s="2" t="s">
        <v>75</v>
      </c>
      <c r="AO17" s="2" t="s">
        <v>75</v>
      </c>
      <c r="AY17" s="2" t="s">
        <v>75</v>
      </c>
    </row>
    <row r="18" spans="1:51" x14ac:dyDescent="0.4">
      <c r="A18" s="2" t="s">
        <v>76</v>
      </c>
      <c r="K18" s="2" t="s">
        <v>76</v>
      </c>
      <c r="U18" s="2" t="s">
        <v>76</v>
      </c>
      <c r="AE18" s="2" t="s">
        <v>76</v>
      </c>
      <c r="AO18" s="2" t="s">
        <v>76</v>
      </c>
      <c r="AY18" s="2" t="s">
        <v>76</v>
      </c>
    </row>
    <row r="19" spans="1:51" x14ac:dyDescent="0.4">
      <c r="A19" s="2" t="s">
        <v>88</v>
      </c>
      <c r="K19" s="2" t="s">
        <v>88</v>
      </c>
      <c r="U19" s="2" t="s">
        <v>88</v>
      </c>
      <c r="AE19" s="2" t="s">
        <v>88</v>
      </c>
      <c r="AO19" s="2" t="s">
        <v>88</v>
      </c>
      <c r="AY19" s="2" t="s">
        <v>88</v>
      </c>
    </row>
    <row r="20" spans="1:51" x14ac:dyDescent="0.4">
      <c r="A20" s="2" t="s">
        <v>84</v>
      </c>
      <c r="K20" s="2" t="s">
        <v>84</v>
      </c>
      <c r="U20" s="2" t="s">
        <v>84</v>
      </c>
      <c r="AE20" s="2" t="s">
        <v>84</v>
      </c>
      <c r="AO20" s="2" t="s">
        <v>84</v>
      </c>
      <c r="AY20" s="2" t="s">
        <v>84</v>
      </c>
    </row>
    <row r="22" spans="1:51" x14ac:dyDescent="0.4">
      <c r="A22" s="3" t="s">
        <v>86</v>
      </c>
      <c r="B22" s="2" t="s">
        <v>60</v>
      </c>
      <c r="C22" s="2" t="s">
        <v>77</v>
      </c>
      <c r="D22" s="2" t="s">
        <v>78</v>
      </c>
      <c r="E22" s="2" t="s">
        <v>79</v>
      </c>
      <c r="F22" s="2" t="s">
        <v>80</v>
      </c>
      <c r="G22" s="2" t="s">
        <v>81</v>
      </c>
      <c r="H22" s="2" t="s">
        <v>82</v>
      </c>
      <c r="I22" s="2" t="s">
        <v>83</v>
      </c>
      <c r="U22" s="3"/>
      <c r="AE22" s="3"/>
      <c r="AO22" s="3"/>
      <c r="AY22" s="3"/>
    </row>
    <row r="23" spans="1:51" x14ac:dyDescent="0.4">
      <c r="A23" s="2" t="s">
        <v>61</v>
      </c>
    </row>
    <row r="24" spans="1:51" x14ac:dyDescent="0.4">
      <c r="A24" s="2" t="s">
        <v>62</v>
      </c>
    </row>
    <row r="25" spans="1:51" x14ac:dyDescent="0.4">
      <c r="A25" s="2" t="s">
        <v>63</v>
      </c>
    </row>
    <row r="26" spans="1:51" x14ac:dyDescent="0.4">
      <c r="A26" s="2" t="s">
        <v>64</v>
      </c>
    </row>
    <row r="27" spans="1:51" x14ac:dyDescent="0.4">
      <c r="A27" s="2" t="s">
        <v>65</v>
      </c>
    </row>
    <row r="28" spans="1:51" x14ac:dyDescent="0.4">
      <c r="A28" s="2" t="s">
        <v>66</v>
      </c>
    </row>
    <row r="29" spans="1:51" x14ac:dyDescent="0.4">
      <c r="A29" s="2" t="s">
        <v>67</v>
      </c>
    </row>
    <row r="30" spans="1:51" x14ac:dyDescent="0.4">
      <c r="A30" s="2" t="s">
        <v>68</v>
      </c>
    </row>
    <row r="31" spans="1:51" x14ac:dyDescent="0.4">
      <c r="A31" s="2" t="s">
        <v>69</v>
      </c>
    </row>
    <row r="32" spans="1:51" x14ac:dyDescent="0.4">
      <c r="A32" s="2" t="s">
        <v>70</v>
      </c>
    </row>
    <row r="33" spans="1:51" x14ac:dyDescent="0.4">
      <c r="A33" s="2" t="s">
        <v>71</v>
      </c>
    </row>
    <row r="34" spans="1:51" x14ac:dyDescent="0.4">
      <c r="A34" s="2" t="s">
        <v>72</v>
      </c>
    </row>
    <row r="35" spans="1:51" x14ac:dyDescent="0.4">
      <c r="A35" s="2" t="s">
        <v>73</v>
      </c>
    </row>
    <row r="36" spans="1:51" x14ac:dyDescent="0.4">
      <c r="A36" s="2" t="s">
        <v>74</v>
      </c>
    </row>
    <row r="37" spans="1:51" x14ac:dyDescent="0.4">
      <c r="A37" s="2" t="s">
        <v>75</v>
      </c>
    </row>
    <row r="38" spans="1:51" x14ac:dyDescent="0.4">
      <c r="A38" s="2" t="s">
        <v>76</v>
      </c>
    </row>
    <row r="39" spans="1:51" x14ac:dyDescent="0.4">
      <c r="A39" s="2" t="s">
        <v>88</v>
      </c>
    </row>
    <row r="40" spans="1:51" x14ac:dyDescent="0.4">
      <c r="A40" s="2" t="s">
        <v>84</v>
      </c>
    </row>
    <row r="42" spans="1:51" x14ac:dyDescent="0.4">
      <c r="A42" s="3" t="s">
        <v>87</v>
      </c>
      <c r="B42" s="2" t="s">
        <v>60</v>
      </c>
      <c r="C42" s="2" t="s">
        <v>77</v>
      </c>
      <c r="D42" s="2" t="s">
        <v>78</v>
      </c>
      <c r="E42" s="2" t="s">
        <v>79</v>
      </c>
      <c r="F42" s="2" t="s">
        <v>80</v>
      </c>
      <c r="G42" s="2" t="s">
        <v>81</v>
      </c>
      <c r="H42" s="2" t="s">
        <v>82</v>
      </c>
      <c r="I42" s="2" t="s">
        <v>83</v>
      </c>
      <c r="K42" s="3"/>
      <c r="U42" s="3"/>
      <c r="AE42" s="3"/>
      <c r="AO42" s="3"/>
      <c r="AY42" s="3"/>
    </row>
    <row r="43" spans="1:51" x14ac:dyDescent="0.4">
      <c r="A43" s="2" t="s">
        <v>61</v>
      </c>
    </row>
    <row r="44" spans="1:51" x14ac:dyDescent="0.4">
      <c r="A44" s="2" t="s">
        <v>62</v>
      </c>
    </row>
    <row r="45" spans="1:51" x14ac:dyDescent="0.4">
      <c r="A45" s="2" t="s">
        <v>63</v>
      </c>
    </row>
    <row r="46" spans="1:51" x14ac:dyDescent="0.4">
      <c r="A46" s="2" t="s">
        <v>64</v>
      </c>
    </row>
    <row r="47" spans="1:51" x14ac:dyDescent="0.4">
      <c r="A47" s="2" t="s">
        <v>65</v>
      </c>
    </row>
    <row r="48" spans="1:51" x14ac:dyDescent="0.4">
      <c r="A48" s="2" t="s">
        <v>66</v>
      </c>
    </row>
    <row r="49" spans="1:1" x14ac:dyDescent="0.4">
      <c r="A49" s="2" t="s">
        <v>67</v>
      </c>
    </row>
    <row r="50" spans="1:1" x14ac:dyDescent="0.4">
      <c r="A50" s="2" t="s">
        <v>68</v>
      </c>
    </row>
    <row r="51" spans="1:1" x14ac:dyDescent="0.4">
      <c r="A51" s="2" t="s">
        <v>69</v>
      </c>
    </row>
    <row r="52" spans="1:1" x14ac:dyDescent="0.4">
      <c r="A52" s="2" t="s">
        <v>70</v>
      </c>
    </row>
    <row r="53" spans="1:1" x14ac:dyDescent="0.4">
      <c r="A53" s="2" t="s">
        <v>71</v>
      </c>
    </row>
    <row r="54" spans="1:1" x14ac:dyDescent="0.4">
      <c r="A54" s="2" t="s">
        <v>72</v>
      </c>
    </row>
    <row r="55" spans="1:1" x14ac:dyDescent="0.4">
      <c r="A55" s="2" t="s">
        <v>73</v>
      </c>
    </row>
    <row r="56" spans="1:1" x14ac:dyDescent="0.4">
      <c r="A56" s="2" t="s">
        <v>74</v>
      </c>
    </row>
    <row r="57" spans="1:1" x14ac:dyDescent="0.4">
      <c r="A57" s="2" t="s">
        <v>75</v>
      </c>
    </row>
    <row r="58" spans="1:1" x14ac:dyDescent="0.4">
      <c r="A58" s="2" t="s">
        <v>76</v>
      </c>
    </row>
    <row r="59" spans="1:1" x14ac:dyDescent="0.4">
      <c r="A59" s="2" t="s">
        <v>88</v>
      </c>
    </row>
    <row r="60" spans="1:1" x14ac:dyDescent="0.4">
      <c r="A60" s="2" t="s">
        <v>84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07BBE-AFDF-47F8-BE2E-96A545A38B55}">
  <sheetPr codeName="Sheet3"/>
  <dimension ref="A1:T31"/>
  <sheetViews>
    <sheetView workbookViewId="0"/>
  </sheetViews>
  <sheetFormatPr defaultRowHeight="18.75" x14ac:dyDescent="0.4"/>
  <cols>
    <col min="1" max="1" width="9.875" bestFit="1" customWidth="1"/>
    <col min="2" max="2" width="9.875" customWidth="1"/>
  </cols>
  <sheetData>
    <row r="1" spans="1:15" x14ac:dyDescent="0.4">
      <c r="A1" t="s">
        <v>24</v>
      </c>
      <c r="B1" t="s">
        <v>25</v>
      </c>
      <c r="C1" t="s">
        <v>0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36</v>
      </c>
      <c r="J1" t="s">
        <v>57</v>
      </c>
      <c r="K1" t="s">
        <v>52</v>
      </c>
      <c r="L1" t="s">
        <v>53</v>
      </c>
      <c r="M1" t="s">
        <v>54</v>
      </c>
      <c r="N1" t="s">
        <v>55</v>
      </c>
      <c r="O1" t="s">
        <v>56</v>
      </c>
    </row>
    <row r="2" spans="1:15" x14ac:dyDescent="0.4">
      <c r="A2" s="1">
        <v>38635</v>
      </c>
      <c r="B2" s="1" t="s">
        <v>23</v>
      </c>
      <c r="C2" t="s">
        <v>13</v>
      </c>
      <c r="D2" t="s">
        <v>14</v>
      </c>
      <c r="I2">
        <v>15100</v>
      </c>
      <c r="J2">
        <v>201</v>
      </c>
      <c r="K2">
        <v>345</v>
      </c>
    </row>
    <row r="3" spans="1:15" x14ac:dyDescent="0.4">
      <c r="A3" s="1">
        <v>38718</v>
      </c>
      <c r="B3" s="1">
        <v>40268</v>
      </c>
      <c r="C3" t="s">
        <v>6</v>
      </c>
      <c r="D3" t="s">
        <v>7</v>
      </c>
      <c r="E3" t="s">
        <v>15</v>
      </c>
      <c r="F3" t="s">
        <v>16</v>
      </c>
      <c r="G3" t="s">
        <v>17</v>
      </c>
      <c r="H3" t="s">
        <v>18</v>
      </c>
      <c r="I3">
        <v>15202</v>
      </c>
      <c r="J3">
        <v>202</v>
      </c>
      <c r="K3">
        <v>441</v>
      </c>
      <c r="L3">
        <v>404</v>
      </c>
      <c r="M3">
        <v>406</v>
      </c>
      <c r="N3">
        <v>215</v>
      </c>
      <c r="O3">
        <v>403</v>
      </c>
    </row>
    <row r="4" spans="1:15" x14ac:dyDescent="0.4">
      <c r="A4" s="1" t="s">
        <v>23</v>
      </c>
      <c r="B4" s="1" t="s">
        <v>23</v>
      </c>
      <c r="C4" t="s">
        <v>26</v>
      </c>
      <c r="I4">
        <v>15204</v>
      </c>
      <c r="J4">
        <v>204</v>
      </c>
    </row>
    <row r="5" spans="1:15" x14ac:dyDescent="0.4">
      <c r="A5" s="1" t="s">
        <v>23</v>
      </c>
      <c r="B5" s="1" t="s">
        <v>23</v>
      </c>
      <c r="C5" t="s">
        <v>27</v>
      </c>
      <c r="I5">
        <v>15205</v>
      </c>
      <c r="J5">
        <v>205</v>
      </c>
    </row>
    <row r="6" spans="1:15" x14ac:dyDescent="0.4">
      <c r="A6" s="1" t="s">
        <v>23</v>
      </c>
      <c r="B6" s="1" t="s">
        <v>23</v>
      </c>
      <c r="C6" t="s">
        <v>28</v>
      </c>
      <c r="I6">
        <v>15206</v>
      </c>
      <c r="J6">
        <v>206</v>
      </c>
    </row>
    <row r="7" spans="1:15" x14ac:dyDescent="0.4">
      <c r="A7" s="1" t="s">
        <v>23</v>
      </c>
      <c r="B7" s="1" t="s">
        <v>23</v>
      </c>
      <c r="C7" t="s">
        <v>29</v>
      </c>
      <c r="I7">
        <v>15208</v>
      </c>
      <c r="J7">
        <v>208</v>
      </c>
    </row>
    <row r="8" spans="1:15" x14ac:dyDescent="0.4">
      <c r="A8" s="1" t="s">
        <v>23</v>
      </c>
      <c r="B8" s="1" t="s">
        <v>23</v>
      </c>
      <c r="C8" t="s">
        <v>30</v>
      </c>
      <c r="I8">
        <v>15209</v>
      </c>
      <c r="J8">
        <v>209</v>
      </c>
    </row>
    <row r="9" spans="1:15" x14ac:dyDescent="0.4">
      <c r="A9" s="1" t="s">
        <v>23</v>
      </c>
      <c r="B9" s="1" t="s">
        <v>23</v>
      </c>
      <c r="C9" t="s">
        <v>31</v>
      </c>
      <c r="I9">
        <v>15210</v>
      </c>
      <c r="J9">
        <v>210</v>
      </c>
    </row>
    <row r="10" spans="1:15" x14ac:dyDescent="0.4">
      <c r="A10" s="1" t="s">
        <v>23</v>
      </c>
      <c r="B10" s="1" t="s">
        <v>23</v>
      </c>
      <c r="C10" t="s">
        <v>32</v>
      </c>
      <c r="I10">
        <v>15211</v>
      </c>
      <c r="J10">
        <v>211</v>
      </c>
    </row>
    <row r="11" spans="1:15" x14ac:dyDescent="0.4">
      <c r="A11" s="1">
        <v>39539</v>
      </c>
      <c r="B11" s="1" t="s">
        <v>23</v>
      </c>
      <c r="C11" t="s">
        <v>1</v>
      </c>
      <c r="D11" t="s">
        <v>2</v>
      </c>
      <c r="E11" t="s">
        <v>3</v>
      </c>
      <c r="F11" t="s">
        <v>4</v>
      </c>
      <c r="G11" t="s">
        <v>5</v>
      </c>
      <c r="I11">
        <v>15212</v>
      </c>
      <c r="J11">
        <v>212</v>
      </c>
      <c r="K11">
        <v>582</v>
      </c>
      <c r="L11">
        <v>583</v>
      </c>
      <c r="M11">
        <v>584</v>
      </c>
      <c r="N11">
        <v>585</v>
      </c>
    </row>
    <row r="12" spans="1:15" x14ac:dyDescent="0.4">
      <c r="A12" s="1" t="s">
        <v>23</v>
      </c>
      <c r="B12" s="1" t="s">
        <v>23</v>
      </c>
      <c r="C12" t="s">
        <v>33</v>
      </c>
      <c r="D12" t="s">
        <v>158</v>
      </c>
      <c r="E12" t="s">
        <v>159</v>
      </c>
      <c r="I12">
        <v>15213</v>
      </c>
      <c r="J12">
        <v>213</v>
      </c>
      <c r="K12">
        <v>343</v>
      </c>
      <c r="L12">
        <v>344</v>
      </c>
    </row>
    <row r="13" spans="1:15" x14ac:dyDescent="0.4">
      <c r="A13" s="1" t="s">
        <v>23</v>
      </c>
      <c r="B13" s="1" t="s">
        <v>23</v>
      </c>
      <c r="C13" t="s">
        <v>34</v>
      </c>
      <c r="I13">
        <v>15216</v>
      </c>
      <c r="J13">
        <v>216</v>
      </c>
    </row>
    <row r="14" spans="1:15" x14ac:dyDescent="0.4">
      <c r="A14" s="1" t="s">
        <v>23</v>
      </c>
      <c r="B14" s="1" t="s">
        <v>23</v>
      </c>
      <c r="C14" t="s">
        <v>35</v>
      </c>
      <c r="I14">
        <v>15217</v>
      </c>
      <c r="J14">
        <v>217</v>
      </c>
    </row>
    <row r="15" spans="1:15" x14ac:dyDescent="0.4">
      <c r="A15" s="1">
        <v>38718</v>
      </c>
      <c r="B15" s="1" t="s">
        <v>23</v>
      </c>
      <c r="C15" t="s">
        <v>19</v>
      </c>
      <c r="D15" t="s">
        <v>20</v>
      </c>
      <c r="I15">
        <v>15218</v>
      </c>
      <c r="J15">
        <v>218</v>
      </c>
      <c r="K15">
        <v>322</v>
      </c>
    </row>
    <row r="16" spans="1:15" x14ac:dyDescent="0.4">
      <c r="A16" s="1" t="s">
        <v>23</v>
      </c>
      <c r="B16" s="1" t="s">
        <v>23</v>
      </c>
      <c r="C16" t="s">
        <v>37</v>
      </c>
      <c r="I16">
        <v>15222</v>
      </c>
      <c r="J16">
        <v>222</v>
      </c>
    </row>
    <row r="17" spans="1:20" x14ac:dyDescent="0.4">
      <c r="A17" s="1" t="s">
        <v>23</v>
      </c>
      <c r="B17" s="1" t="s">
        <v>23</v>
      </c>
      <c r="C17" t="s">
        <v>38</v>
      </c>
      <c r="I17">
        <v>15223</v>
      </c>
      <c r="J17">
        <v>223</v>
      </c>
    </row>
    <row r="18" spans="1:20" x14ac:dyDescent="0.4">
      <c r="A18" s="1" t="s">
        <v>23</v>
      </c>
      <c r="B18" s="1" t="s">
        <v>23</v>
      </c>
      <c r="C18" t="s">
        <v>39</v>
      </c>
      <c r="I18">
        <v>15224</v>
      </c>
      <c r="J18">
        <v>224</v>
      </c>
    </row>
    <row r="19" spans="1:20" x14ac:dyDescent="0.4">
      <c r="A19" s="1" t="s">
        <v>23</v>
      </c>
      <c r="B19" s="1" t="s">
        <v>23</v>
      </c>
      <c r="C19" t="s">
        <v>40</v>
      </c>
      <c r="I19">
        <v>15225</v>
      </c>
      <c r="J19">
        <v>225</v>
      </c>
    </row>
    <row r="20" spans="1:20" x14ac:dyDescent="0.4">
      <c r="A20" s="1">
        <v>38626</v>
      </c>
      <c r="B20" s="1" t="s">
        <v>23</v>
      </c>
      <c r="C20" t="s">
        <v>21</v>
      </c>
      <c r="I20">
        <v>15226</v>
      </c>
      <c r="J20">
        <v>226</v>
      </c>
      <c r="S20" t="s">
        <v>22</v>
      </c>
      <c r="T20">
        <v>462</v>
      </c>
    </row>
    <row r="21" spans="1:20" x14ac:dyDescent="0.4">
      <c r="A21" s="1" t="s">
        <v>23</v>
      </c>
      <c r="B21" s="1" t="s">
        <v>23</v>
      </c>
      <c r="C21" t="s">
        <v>41</v>
      </c>
      <c r="I21">
        <v>15227</v>
      </c>
      <c r="J21">
        <v>227</v>
      </c>
    </row>
    <row r="22" spans="1:20" x14ac:dyDescent="0.4">
      <c r="A22" s="1" t="s">
        <v>23</v>
      </c>
      <c r="B22" s="1" t="s">
        <v>23</v>
      </c>
      <c r="C22" t="s">
        <v>42</v>
      </c>
      <c r="I22">
        <v>15307</v>
      </c>
      <c r="J22">
        <v>307</v>
      </c>
    </row>
    <row r="23" spans="1:20" x14ac:dyDescent="0.4">
      <c r="A23" s="1" t="s">
        <v>23</v>
      </c>
      <c r="B23" s="1" t="s">
        <v>23</v>
      </c>
      <c r="C23" t="s">
        <v>43</v>
      </c>
      <c r="I23">
        <v>15342</v>
      </c>
      <c r="J23">
        <v>342</v>
      </c>
    </row>
    <row r="24" spans="1:20" x14ac:dyDescent="0.4">
      <c r="A24" s="1" t="s">
        <v>23</v>
      </c>
      <c r="B24" s="1" t="s">
        <v>23</v>
      </c>
      <c r="C24" t="s">
        <v>44</v>
      </c>
      <c r="I24">
        <v>15361</v>
      </c>
      <c r="J24">
        <v>361</v>
      </c>
    </row>
    <row r="25" spans="1:20" x14ac:dyDescent="0.4">
      <c r="A25" s="1" t="s">
        <v>23</v>
      </c>
      <c r="B25" s="1" t="s">
        <v>23</v>
      </c>
      <c r="C25" t="s">
        <v>45</v>
      </c>
      <c r="I25">
        <v>15385</v>
      </c>
      <c r="J25">
        <v>385</v>
      </c>
    </row>
    <row r="26" spans="1:20" x14ac:dyDescent="0.4">
      <c r="A26" s="1" t="s">
        <v>23</v>
      </c>
      <c r="B26" s="1" t="s">
        <v>23</v>
      </c>
      <c r="C26" t="s">
        <v>46</v>
      </c>
      <c r="I26">
        <v>15405</v>
      </c>
      <c r="J26">
        <v>405</v>
      </c>
    </row>
    <row r="27" spans="1:20" x14ac:dyDescent="0.4">
      <c r="A27" s="1" t="s">
        <v>23</v>
      </c>
      <c r="B27" s="1" t="s">
        <v>23</v>
      </c>
      <c r="C27" t="s">
        <v>47</v>
      </c>
      <c r="I27">
        <v>15461</v>
      </c>
      <c r="J27">
        <v>461</v>
      </c>
    </row>
    <row r="28" spans="1:20" x14ac:dyDescent="0.4">
      <c r="A28" s="1" t="s">
        <v>23</v>
      </c>
      <c r="B28" s="1" t="s">
        <v>23</v>
      </c>
      <c r="C28" t="s">
        <v>48</v>
      </c>
      <c r="I28">
        <v>15482</v>
      </c>
      <c r="J28">
        <v>482</v>
      </c>
    </row>
    <row r="29" spans="1:20" x14ac:dyDescent="0.4">
      <c r="A29" s="1" t="s">
        <v>23</v>
      </c>
      <c r="B29" s="1" t="s">
        <v>23</v>
      </c>
      <c r="C29" t="s">
        <v>49</v>
      </c>
      <c r="I29">
        <v>15504</v>
      </c>
      <c r="J29">
        <v>504</v>
      </c>
    </row>
    <row r="30" spans="1:20" x14ac:dyDescent="0.4">
      <c r="A30" s="1" t="s">
        <v>23</v>
      </c>
      <c r="B30" s="1" t="s">
        <v>23</v>
      </c>
      <c r="C30" t="s">
        <v>50</v>
      </c>
      <c r="I30">
        <v>15581</v>
      </c>
      <c r="J30">
        <v>581</v>
      </c>
    </row>
    <row r="31" spans="1:20" x14ac:dyDescent="0.4">
      <c r="A31" s="1" t="s">
        <v>23</v>
      </c>
      <c r="B31" s="1" t="s">
        <v>23</v>
      </c>
      <c r="C31" t="s">
        <v>51</v>
      </c>
      <c r="I31">
        <v>15586</v>
      </c>
      <c r="J31">
        <v>586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main</vt:lpstr>
      <vt:lpstr>将来世帯数(1)</vt:lpstr>
      <vt:lpstr>将来世帯数(2)</vt:lpstr>
      <vt:lpstr>将来人口</vt:lpstr>
      <vt:lpstr>世帯主率推計</vt:lpstr>
      <vt:lpstr>世帯主率</vt:lpstr>
      <vt:lpstr>人口</vt:lpstr>
      <vt:lpstr>世帯数不詳按分</vt:lpstr>
      <vt:lpstr>世帯数</vt:lpstr>
      <vt:lpstr>参照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PE05 43</dc:creator>
  <cp:lastModifiedBy>PE05 43</cp:lastModifiedBy>
  <dcterms:created xsi:type="dcterms:W3CDTF">2020-10-01T02:21:14Z</dcterms:created>
  <dcterms:modified xsi:type="dcterms:W3CDTF">2021-03-23T05:34:04Z</dcterms:modified>
</cp:coreProperties>
</file>